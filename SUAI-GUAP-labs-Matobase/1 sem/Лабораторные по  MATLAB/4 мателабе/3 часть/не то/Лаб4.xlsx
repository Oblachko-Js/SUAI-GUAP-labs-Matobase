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Папочка студента (получается так) не удалять ни при каких обстоятельствах\Лабораторные по  MATLAB\4 мателабе\3 часть\не то\"/>
    </mc:Choice>
  </mc:AlternateContent>
  <bookViews>
    <workbookView xWindow="0" yWindow="0" windowWidth="16815" windowHeight="6585" activeTab="1"/>
  </bookViews>
  <sheets>
    <sheet name="Лаб4_1" sheetId="1" r:id="rId1"/>
    <sheet name="Лаб4_2" sheetId="2" r:id="rId2"/>
    <sheet name="Лаб4_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R10" i="3" l="1"/>
  <c r="AT8" i="3"/>
  <c r="AU7" i="3" s="1"/>
  <c r="AV6" i="3" s="1"/>
  <c r="AW5" i="3" s="1"/>
  <c r="AX4" i="3" s="1"/>
  <c r="AY3" i="3" s="1"/>
  <c r="AZ2" i="3" s="1"/>
  <c r="AS9" i="3"/>
  <c r="AQ11" i="3"/>
  <c r="AP12" i="3"/>
  <c r="AO13" i="3"/>
  <c r="AN14" i="3"/>
  <c r="AM15" i="3"/>
  <c r="AL16" i="3"/>
  <c r="AK17" i="3"/>
  <c r="AJ18" i="3"/>
  <c r="AI19" i="3"/>
  <c r="AH20" i="3"/>
  <c r="AG21" i="3"/>
  <c r="AF22" i="3"/>
  <c r="AE23" i="3"/>
  <c r="AD24" i="3"/>
  <c r="AC25" i="3"/>
  <c r="D50" i="3" l="1"/>
  <c r="E49" i="3" s="1"/>
  <c r="F48" i="3" s="1"/>
  <c r="G47" i="3" s="1"/>
  <c r="H46" i="3" s="1"/>
  <c r="I45" i="3" s="1"/>
  <c r="J44" i="3" s="1"/>
  <c r="K43" i="3" s="1"/>
  <c r="L42" i="3" s="1"/>
  <c r="M41" i="3" s="1"/>
  <c r="N40" i="3" s="1"/>
  <c r="O39" i="3" s="1"/>
  <c r="P38" i="3" s="1"/>
  <c r="Q37" i="3" s="1"/>
  <c r="R36" i="3" s="1"/>
  <c r="S35" i="3" s="1"/>
  <c r="T34" i="3" s="1"/>
  <c r="U33" i="3" s="1"/>
  <c r="V32" i="3" s="1"/>
  <c r="W31" i="3" s="1"/>
  <c r="X30" i="3" s="1"/>
  <c r="Y29" i="3" s="1"/>
  <c r="Z28" i="3" s="1"/>
  <c r="AA27" i="3" s="1"/>
  <c r="AB26" i="3" s="1"/>
  <c r="C56" i="2" l="1"/>
  <c r="R5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2" i="2"/>
  <c r="M3" i="1" l="1"/>
  <c r="M2" i="1"/>
  <c r="L3" i="1"/>
  <c r="L2" i="1"/>
  <c r="J3" i="1"/>
  <c r="J2" i="1"/>
  <c r="J7" i="1"/>
  <c r="K3" i="1"/>
  <c r="K2" i="1" l="1"/>
  <c r="G5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2" i="1"/>
  <c r="F32" i="1" l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D52" i="1"/>
  <c r="E6" i="1" s="1"/>
  <c r="F6" i="1" s="1"/>
  <c r="E49" i="1" l="1"/>
  <c r="E37" i="1"/>
  <c r="E25" i="1"/>
  <c r="E9" i="1"/>
  <c r="F9" i="1" s="1"/>
  <c r="E2" i="1"/>
  <c r="F2" i="1" s="1"/>
  <c r="E48" i="1"/>
  <c r="E44" i="1"/>
  <c r="E40" i="1"/>
  <c r="E36" i="1"/>
  <c r="E32" i="1"/>
  <c r="E28" i="1"/>
  <c r="E24" i="1"/>
  <c r="E20" i="1"/>
  <c r="E16" i="1"/>
  <c r="E12" i="1"/>
  <c r="E8" i="1"/>
  <c r="F8" i="1" s="1"/>
  <c r="E4" i="1"/>
  <c r="F4" i="1" s="1"/>
  <c r="E41" i="1"/>
  <c r="E29" i="1"/>
  <c r="E13" i="1"/>
  <c r="E51" i="1"/>
  <c r="E47" i="1"/>
  <c r="E43" i="1"/>
  <c r="E39" i="1"/>
  <c r="E35" i="1"/>
  <c r="E31" i="1"/>
  <c r="E27" i="1"/>
  <c r="E23" i="1"/>
  <c r="E19" i="1"/>
  <c r="E15" i="1"/>
  <c r="E11" i="1"/>
  <c r="E7" i="1"/>
  <c r="F7" i="1" s="1"/>
  <c r="E3" i="1"/>
  <c r="F3" i="1" s="1"/>
  <c r="E45" i="1"/>
  <c r="E33" i="1"/>
  <c r="E21" i="1"/>
  <c r="E17" i="1"/>
  <c r="E5" i="1"/>
  <c r="F5" i="1" s="1"/>
  <c r="E50" i="1"/>
  <c r="E46" i="1"/>
  <c r="E42" i="1"/>
  <c r="E38" i="1"/>
  <c r="E34" i="1"/>
  <c r="E30" i="1"/>
  <c r="E26" i="1"/>
  <c r="E22" i="1"/>
  <c r="E18" i="1"/>
  <c r="E14" i="1"/>
  <c r="E10" i="1"/>
  <c r="F10" i="1" s="1"/>
  <c r="C43" i="1"/>
  <c r="C44" i="1"/>
  <c r="C45" i="1"/>
  <c r="C46" i="1"/>
  <c r="C47" i="1"/>
  <c r="C48" i="1"/>
  <c r="C49" i="1"/>
  <c r="C50" i="1"/>
  <c r="C51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" i="1"/>
</calcChain>
</file>

<file path=xl/sharedStrings.xml><?xml version="1.0" encoding="utf-8"?>
<sst xmlns="http://schemas.openxmlformats.org/spreadsheetml/2006/main" count="205" uniqueCount="116">
  <si>
    <t>№ п/п</t>
  </si>
  <si>
    <t>Символ</t>
  </si>
  <si>
    <t>а</t>
  </si>
  <si>
    <t>б</t>
  </si>
  <si>
    <t>в</t>
  </si>
  <si>
    <t>г</t>
  </si>
  <si>
    <t>д</t>
  </si>
  <si>
    <t>е</t>
  </si>
  <si>
    <t>ё</t>
  </si>
  <si>
    <t>ж</t>
  </si>
  <si>
    <t>з</t>
  </si>
  <si>
    <t>и</t>
  </si>
  <si>
    <t>й</t>
  </si>
  <si>
    <t>к</t>
  </si>
  <si>
    <t>л</t>
  </si>
  <si>
    <t>м</t>
  </si>
  <si>
    <t>н</t>
  </si>
  <si>
    <t>о</t>
  </si>
  <si>
    <t>п</t>
  </si>
  <si>
    <t>р</t>
  </si>
  <si>
    <t>с</t>
  </si>
  <si>
    <t>т</t>
  </si>
  <si>
    <t>у</t>
  </si>
  <si>
    <t>ф</t>
  </si>
  <si>
    <t>х</t>
  </si>
  <si>
    <t>ц</t>
  </si>
  <si>
    <t>ч</t>
  </si>
  <si>
    <t>ш</t>
  </si>
  <si>
    <t>щ</t>
  </si>
  <si>
    <t>ъ</t>
  </si>
  <si>
    <t>ы</t>
  </si>
  <si>
    <t>ь</t>
  </si>
  <si>
    <t>э</t>
  </si>
  <si>
    <t>ю</t>
  </si>
  <si>
    <t>я</t>
  </si>
  <si>
    <t>.</t>
  </si>
  <si>
    <t>,</t>
  </si>
  <si>
    <t>:</t>
  </si>
  <si>
    <t>;</t>
  </si>
  <si>
    <t>-</t>
  </si>
  <si>
    <t xml:space="preserve"> </t>
  </si>
  <si>
    <t>(</t>
  </si>
  <si>
    <t>Код символа</t>
  </si>
  <si>
    <t>Число вхождений символа в текст</t>
  </si>
  <si>
    <r>
      <t>Вероятность вхождения символа (P</t>
    </r>
    <r>
      <rPr>
        <vertAlign val="subscript"/>
        <sz val="11"/>
        <color theme="1"/>
        <rFont val="Calibri"/>
        <family val="2"/>
        <charset val="204"/>
        <scheme val="minor"/>
      </rPr>
      <t>i</t>
    </r>
    <r>
      <rPr>
        <sz val="11"/>
        <color theme="1"/>
        <rFont val="Calibri"/>
        <family val="2"/>
        <charset val="204"/>
        <scheme val="minor"/>
      </rPr>
      <t>)</t>
    </r>
  </si>
  <si>
    <r>
      <t>I</t>
    </r>
    <r>
      <rPr>
        <vertAlign val="subscript"/>
        <sz val="11"/>
        <color theme="1"/>
        <rFont val="Calibri"/>
        <family val="2"/>
        <charset val="204"/>
        <scheme val="minor"/>
      </rPr>
      <t>i</t>
    </r>
  </si>
  <si>
    <t>всего символов в тексте (К)</t>
  </si>
  <si>
    <t>При кодировании ASCII</t>
  </si>
  <si>
    <t>При использовании меры Хартли</t>
  </si>
  <si>
    <t>Неопреде- ленность</t>
  </si>
  <si>
    <t>Разрядность кода</t>
  </si>
  <si>
    <t>Абсолюточная избыточность</t>
  </si>
  <si>
    <t>Относительная избыточность</t>
  </si>
  <si>
    <r>
      <t>P</t>
    </r>
    <r>
      <rPr>
        <vertAlign val="subscript"/>
        <sz val="11"/>
        <color theme="1"/>
        <rFont val="Calibri"/>
        <family val="2"/>
        <charset val="204"/>
        <scheme val="minor"/>
      </rPr>
      <t>i</t>
    </r>
    <r>
      <rPr>
        <sz val="11"/>
        <color theme="1"/>
        <rFont val="Calibri"/>
        <family val="2"/>
        <charset val="204"/>
        <scheme val="minor"/>
      </rPr>
      <t>*I</t>
    </r>
    <r>
      <rPr>
        <vertAlign val="subscript"/>
        <sz val="11"/>
        <color theme="1"/>
        <rFont val="Calibri"/>
        <family val="2"/>
        <charset val="204"/>
        <scheme val="minor"/>
      </rPr>
      <t>i</t>
    </r>
  </si>
  <si>
    <t>H (энтропия)</t>
  </si>
  <si>
    <t>кол-во слов</t>
  </si>
  <si>
    <t>1-я ступень</t>
  </si>
  <si>
    <t>2-я ступень</t>
  </si>
  <si>
    <t>3-я ступень</t>
  </si>
  <si>
    <t>4-я ступень</t>
  </si>
  <si>
    <t>5-я ступень</t>
  </si>
  <si>
    <t>6-я ступень</t>
  </si>
  <si>
    <t>7-я ступень</t>
  </si>
  <si>
    <t>8-я ступень</t>
  </si>
  <si>
    <t>9-я ступень</t>
  </si>
  <si>
    <t>10-я ступень</t>
  </si>
  <si>
    <t>11-я ступень</t>
  </si>
  <si>
    <t>12-я ступень</t>
  </si>
  <si>
    <t>0111</t>
  </si>
  <si>
    <t>01101</t>
  </si>
  <si>
    <t>01100</t>
  </si>
  <si>
    <t>01011</t>
  </si>
  <si>
    <t>01010</t>
  </si>
  <si>
    <t>01001</t>
  </si>
  <si>
    <t>01000</t>
  </si>
  <si>
    <t>001111</t>
  </si>
  <si>
    <t>001110</t>
  </si>
  <si>
    <t>001101</t>
  </si>
  <si>
    <t>001100</t>
  </si>
  <si>
    <t>001011</t>
  </si>
  <si>
    <t>001010</t>
  </si>
  <si>
    <t>001001</t>
  </si>
  <si>
    <t>001000</t>
  </si>
  <si>
    <t>000111</t>
  </si>
  <si>
    <t>000110</t>
  </si>
  <si>
    <t>000101</t>
  </si>
  <si>
    <t>000100</t>
  </si>
  <si>
    <t>0000111</t>
  </si>
  <si>
    <t>0000110</t>
  </si>
  <si>
    <t>0000101</t>
  </si>
  <si>
    <t>0000100</t>
  </si>
  <si>
    <t>00000111</t>
  </si>
  <si>
    <t>00000110</t>
  </si>
  <si>
    <t>00000101</t>
  </si>
  <si>
    <t>00000100</t>
  </si>
  <si>
    <t>000000111</t>
  </si>
  <si>
    <t>000000110</t>
  </si>
  <si>
    <t>000000101</t>
  </si>
  <si>
    <t>000000100</t>
  </si>
  <si>
    <t>0000000111</t>
  </si>
  <si>
    <t>0000000110</t>
  </si>
  <si>
    <t>0000000101</t>
  </si>
  <si>
    <t>0000000100</t>
  </si>
  <si>
    <t>00000000111</t>
  </si>
  <si>
    <t>00000000110</t>
  </si>
  <si>
    <t>00000000101</t>
  </si>
  <si>
    <t>00000000100</t>
  </si>
  <si>
    <t>00000000001</t>
  </si>
  <si>
    <t>000000000001</t>
  </si>
  <si>
    <t>00000000011</t>
  </si>
  <si>
    <t>00000000010</t>
  </si>
  <si>
    <t>000000000000</t>
  </si>
  <si>
    <r>
      <t>Вероятность (P</t>
    </r>
    <r>
      <rPr>
        <b/>
        <vertAlign val="subscript"/>
        <sz val="14"/>
        <color rgb="FF000000"/>
        <rFont val="Calibri"/>
        <family val="2"/>
        <charset val="204"/>
        <scheme val="minor"/>
      </rPr>
      <t>i</t>
    </r>
    <r>
      <rPr>
        <b/>
        <sz val="14"/>
        <color rgb="FF000000"/>
        <rFont val="Calibri"/>
        <family val="2"/>
        <charset val="204"/>
        <scheme val="minor"/>
      </rPr>
      <t>)</t>
    </r>
  </si>
  <si>
    <t>n(a(i))</t>
  </si>
  <si>
    <t>p(i)*n(a(i))</t>
  </si>
  <si>
    <t>Nср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</si>
</sst>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8" x14ac:knownFonts="1">
    <font>
      <sz val="11"/>
      <color theme="1"/>
      <name val="Calibri"/>
      <family val="2"/>
      <charset val="204"/>
      <scheme val="minor"/>
    </font>
    <font>
      <vertAlign val="subscript"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20"/>
      <color theme="1"/>
      <name val="Calibri"/>
      <family val="2"/>
      <charset val="204"/>
      <scheme val="minor"/>
    </font>
    <font>
      <b/>
      <sz val="14"/>
      <color rgb="FF000000"/>
      <name val="Calibri"/>
      <family val="2"/>
      <charset val="204"/>
      <scheme val="minor"/>
    </font>
    <font>
      <b/>
      <vertAlign val="subscript"/>
      <sz val="14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0" applyNumberFormat="1" applyBorder="1"/>
    <xf numFmtId="164" fontId="0" fillId="0" borderId="0" xfId="0" applyNumberFormat="1"/>
    <xf numFmtId="0" fontId="0" fillId="0" borderId="1" xfId="0" applyFill="1" applyBorder="1" applyAlignment="1">
      <alignment horizontal="center" vertical="center" wrapText="1"/>
    </xf>
    <xf numFmtId="0" fontId="0" fillId="0" borderId="3" xfId="0" applyFill="1" applyBorder="1"/>
    <xf numFmtId="0" fontId="0" fillId="0" borderId="0" xfId="0" applyAlignment="1">
      <alignment horizontal="center"/>
    </xf>
    <xf numFmtId="49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3" fillId="0" borderId="1" xfId="0" applyFont="1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3" fillId="0" borderId="0" xfId="0" applyFont="1"/>
    <xf numFmtId="164" fontId="3" fillId="0" borderId="0" xfId="0" applyNumberFormat="1" applyFont="1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3" fillId="0" borderId="1" xfId="0" applyNumberFormat="1" applyFont="1" applyBorder="1"/>
    <xf numFmtId="49" fontId="4" fillId="0" borderId="0" xfId="0" applyNumberFormat="1" applyFont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3" fillId="0" borderId="4" xfId="0" applyNumberFormat="1" applyFont="1" applyBorder="1"/>
    <xf numFmtId="164" fontId="3" fillId="0" borderId="6" xfId="0" applyNumberFormat="1" applyFont="1" applyBorder="1"/>
    <xf numFmtId="164" fontId="3" fillId="0" borderId="0" xfId="0" applyNumberFormat="1" applyFont="1" applyBorder="1"/>
    <xf numFmtId="164" fontId="3" fillId="0" borderId="7" xfId="0" applyNumberFormat="1" applyFont="1" applyBorder="1"/>
    <xf numFmtId="0" fontId="0" fillId="0" borderId="0" xfId="0" applyBorder="1"/>
    <xf numFmtId="0" fontId="4" fillId="0" borderId="1" xfId="0" applyFont="1" applyBorder="1" applyAlignment="1">
      <alignment horizontal="center" vertical="center"/>
    </xf>
    <xf numFmtId="164" fontId="3" fillId="0" borderId="8" xfId="0" applyNumberFormat="1" applyFont="1" applyBorder="1"/>
    <xf numFmtId="164" fontId="3" fillId="0" borderId="9" xfId="0" applyNumberFormat="1" applyFont="1" applyBorder="1"/>
    <xf numFmtId="164" fontId="3" fillId="0" borderId="1" xfId="0" applyNumberFormat="1" applyFont="1" applyFill="1" applyBorder="1"/>
    <xf numFmtId="0" fontId="6" fillId="0" borderId="1" xfId="0" applyFont="1" applyFill="1" applyBorder="1" applyAlignment="1">
      <alignment horizontal="center" vertical="center" wrapText="1"/>
    </xf>
    <xf numFmtId="0" fontId="0" fillId="0" borderId="0" xfId="0" applyFill="1"/>
    <xf numFmtId="0" fontId="3" fillId="0" borderId="1" xfId="0" applyFont="1" applyFill="1" applyBorder="1"/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 wrapText="1"/>
    </xf>
    <xf numFmtId="1" fontId="4" fillId="0" borderId="1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3"/>
  <sheetViews>
    <sheetView topLeftCell="B1" workbookViewId="0">
      <selection activeCell="J2" sqref="J2"/>
    </sheetView>
  </sheetViews>
  <sheetFormatPr defaultRowHeight="15" x14ac:dyDescent="0.25"/>
  <cols>
    <col min="2" max="2" width="9.140625" style="1"/>
    <col min="4" max="4" width="14.85546875" customWidth="1"/>
    <col min="5" max="5" width="16.28515625" customWidth="1"/>
    <col min="6" max="6" width="19.5703125" customWidth="1"/>
    <col min="9" max="9" width="32" bestFit="1" customWidth="1"/>
    <col min="10" max="10" width="13.85546875" customWidth="1"/>
    <col min="11" max="11" width="16" bestFit="1" customWidth="1"/>
    <col min="12" max="12" width="14.85546875" customWidth="1"/>
    <col min="13" max="13" width="15.5703125" customWidth="1"/>
  </cols>
  <sheetData>
    <row r="1" spans="1:13" ht="60" x14ac:dyDescent="0.25">
      <c r="A1" s="2" t="s">
        <v>0</v>
      </c>
      <c r="B1" s="2" t="s">
        <v>1</v>
      </c>
      <c r="C1" s="3" t="s">
        <v>42</v>
      </c>
      <c r="D1" s="3" t="s">
        <v>43</v>
      </c>
      <c r="E1" s="3" t="s">
        <v>44</v>
      </c>
      <c r="F1" s="3" t="s">
        <v>45</v>
      </c>
      <c r="G1" s="8" t="s">
        <v>53</v>
      </c>
      <c r="I1" s="4"/>
      <c r="J1" s="3" t="s">
        <v>49</v>
      </c>
      <c r="K1" s="3" t="s">
        <v>50</v>
      </c>
      <c r="L1" s="3" t="s">
        <v>51</v>
      </c>
      <c r="M1" s="3" t="s">
        <v>52</v>
      </c>
    </row>
    <row r="2" spans="1:13" x14ac:dyDescent="0.25">
      <c r="A2" s="4">
        <v>1</v>
      </c>
      <c r="B2" s="5">
        <v>0</v>
      </c>
      <c r="C2" s="4">
        <f>CODE(B2)</f>
        <v>48</v>
      </c>
      <c r="D2" s="4">
        <v>1</v>
      </c>
      <c r="E2" s="6">
        <f>D2/$D$52</f>
        <v>5.7544021176199794E-5</v>
      </c>
      <c r="F2" s="4">
        <f>-LOG(E2,2)</f>
        <v>14.084974434307497</v>
      </c>
      <c r="G2" s="4">
        <f>E2*F2</f>
        <v>8.1050606711402333E-4</v>
      </c>
      <c r="I2" s="4" t="s">
        <v>47</v>
      </c>
      <c r="J2" s="4">
        <f>LOG(255,2)</f>
        <v>7.9943534368588578</v>
      </c>
      <c r="K2" s="4">
        <f>ROUNDUP(J2,0)</f>
        <v>8</v>
      </c>
      <c r="L2" s="4">
        <f>J7-J2</f>
        <v>-3.4938586601451833</v>
      </c>
      <c r="M2" s="4">
        <f>L2/J7</f>
        <v>-0.77632767806397696</v>
      </c>
    </row>
    <row r="3" spans="1:13" x14ac:dyDescent="0.25">
      <c r="A3" s="4">
        <v>2</v>
      </c>
      <c r="B3" s="5">
        <v>1</v>
      </c>
      <c r="C3" s="4">
        <f t="shared" ref="C3:C51" si="0">CODE(B3)</f>
        <v>49</v>
      </c>
      <c r="D3" s="4">
        <v>13</v>
      </c>
      <c r="E3" s="6">
        <f t="shared" ref="E3:E51" si="1">D3/$D$52</f>
        <v>7.480722752905973E-4</v>
      </c>
      <c r="F3" s="4">
        <f t="shared" ref="F3:F51" si="2">-LOG(E3,2)</f>
        <v>10.384534716166405</v>
      </c>
      <c r="G3" s="4">
        <f t="shared" ref="G3:G51" si="3">E3*F3</f>
        <v>7.7683825129567993E-3</v>
      </c>
      <c r="I3" s="4" t="s">
        <v>48</v>
      </c>
      <c r="J3" s="4">
        <f>LOG(50,2)</f>
        <v>5.6438561897747244</v>
      </c>
      <c r="K3" s="4">
        <f>ROUNDUP(J3,0)</f>
        <v>6</v>
      </c>
      <c r="L3" s="4">
        <f>J7-J3</f>
        <v>-1.1433614130610499</v>
      </c>
      <c r="M3" s="4">
        <f>L3/J7</f>
        <v>-0.254052380857544</v>
      </c>
    </row>
    <row r="4" spans="1:13" x14ac:dyDescent="0.25">
      <c r="A4" s="4">
        <v>3</v>
      </c>
      <c r="B4" s="5">
        <v>2</v>
      </c>
      <c r="C4" s="4">
        <f t="shared" si="0"/>
        <v>50</v>
      </c>
      <c r="D4" s="4">
        <v>5</v>
      </c>
      <c r="E4" s="6">
        <f t="shared" si="1"/>
        <v>2.8772010588099895E-4</v>
      </c>
      <c r="F4" s="4">
        <f t="shared" si="2"/>
        <v>11.763046339420134</v>
      </c>
      <c r="G4" s="4">
        <f t="shared" si="3"/>
        <v>3.384464938261058E-3</v>
      </c>
    </row>
    <row r="5" spans="1:13" x14ac:dyDescent="0.25">
      <c r="A5" s="4">
        <v>4</v>
      </c>
      <c r="B5" s="5">
        <v>3</v>
      </c>
      <c r="C5" s="4">
        <f t="shared" si="0"/>
        <v>51</v>
      </c>
      <c r="D5" s="4">
        <v>1</v>
      </c>
      <c r="E5" s="6">
        <f t="shared" si="1"/>
        <v>5.7544021176199794E-5</v>
      </c>
      <c r="F5" s="4">
        <f t="shared" si="2"/>
        <v>14.084974434307497</v>
      </c>
      <c r="G5" s="4">
        <f t="shared" si="3"/>
        <v>8.1050606711402333E-4</v>
      </c>
    </row>
    <row r="6" spans="1:13" ht="15.75" x14ac:dyDescent="0.25">
      <c r="A6" s="4">
        <v>5</v>
      </c>
      <c r="B6" s="5">
        <v>4</v>
      </c>
      <c r="C6" s="4">
        <f t="shared" si="0"/>
        <v>52</v>
      </c>
      <c r="D6" s="4">
        <v>1</v>
      </c>
      <c r="E6" s="6">
        <f t="shared" si="1"/>
        <v>5.7544021176199794E-5</v>
      </c>
      <c r="F6" s="4">
        <f t="shared" si="2"/>
        <v>14.084974434307497</v>
      </c>
      <c r="G6" s="4">
        <f t="shared" si="3"/>
        <v>8.1050606711402333E-4</v>
      </c>
      <c r="I6" s="12"/>
    </row>
    <row r="7" spans="1:13" x14ac:dyDescent="0.25">
      <c r="A7" s="4">
        <v>6</v>
      </c>
      <c r="B7" s="5">
        <v>5</v>
      </c>
      <c r="C7" s="4">
        <f t="shared" si="0"/>
        <v>53</v>
      </c>
      <c r="D7" s="4">
        <v>1</v>
      </c>
      <c r="E7" s="6">
        <f t="shared" si="1"/>
        <v>5.7544021176199794E-5</v>
      </c>
      <c r="F7" s="4">
        <f t="shared" si="2"/>
        <v>14.084974434307497</v>
      </c>
      <c r="G7" s="4">
        <f t="shared" si="3"/>
        <v>8.1050606711402333E-4</v>
      </c>
      <c r="I7" t="s">
        <v>54</v>
      </c>
      <c r="J7">
        <f>G52</f>
        <v>4.5004947767136745</v>
      </c>
      <c r="K7" s="11"/>
    </row>
    <row r="8" spans="1:13" x14ac:dyDescent="0.25">
      <c r="A8" s="4">
        <v>7</v>
      </c>
      <c r="B8" s="5">
        <v>6</v>
      </c>
      <c r="C8" s="4">
        <f t="shared" si="0"/>
        <v>54</v>
      </c>
      <c r="D8" s="4">
        <v>1</v>
      </c>
      <c r="E8" s="6">
        <f t="shared" si="1"/>
        <v>5.7544021176199794E-5</v>
      </c>
      <c r="F8" s="4">
        <f t="shared" si="2"/>
        <v>14.084974434307497</v>
      </c>
      <c r="G8" s="4">
        <f t="shared" si="3"/>
        <v>8.1050606711402333E-4</v>
      </c>
      <c r="K8" s="11"/>
    </row>
    <row r="9" spans="1:13" x14ac:dyDescent="0.25">
      <c r="A9" s="4">
        <v>8</v>
      </c>
      <c r="B9" s="5">
        <v>7</v>
      </c>
      <c r="C9" s="4">
        <f t="shared" si="0"/>
        <v>55</v>
      </c>
      <c r="D9" s="4">
        <v>1</v>
      </c>
      <c r="E9" s="6">
        <f t="shared" si="1"/>
        <v>5.7544021176199794E-5</v>
      </c>
      <c r="F9" s="4">
        <f t="shared" si="2"/>
        <v>14.084974434307497</v>
      </c>
      <c r="G9" s="4">
        <f t="shared" si="3"/>
        <v>8.1050606711402333E-4</v>
      </c>
      <c r="K9" s="11"/>
    </row>
    <row r="10" spans="1:13" x14ac:dyDescent="0.25">
      <c r="A10" s="4">
        <v>9</v>
      </c>
      <c r="B10" s="5">
        <v>8</v>
      </c>
      <c r="C10" s="4">
        <f t="shared" si="0"/>
        <v>56</v>
      </c>
      <c r="D10" s="4">
        <v>1</v>
      </c>
      <c r="E10" s="6">
        <f t="shared" si="1"/>
        <v>5.7544021176199794E-5</v>
      </c>
      <c r="F10" s="4">
        <f t="shared" si="2"/>
        <v>14.084974434307497</v>
      </c>
      <c r="G10" s="4">
        <f t="shared" si="3"/>
        <v>8.1050606711402333E-4</v>
      </c>
      <c r="K10" s="11"/>
    </row>
    <row r="11" spans="1:13" x14ac:dyDescent="0.25">
      <c r="A11" s="4">
        <v>10</v>
      </c>
      <c r="B11" s="5">
        <v>9</v>
      </c>
      <c r="C11" s="4">
        <f t="shared" si="0"/>
        <v>57</v>
      </c>
      <c r="D11" s="4">
        <v>9</v>
      </c>
      <c r="E11" s="6">
        <f t="shared" si="1"/>
        <v>5.1789619058579812E-4</v>
      </c>
      <c r="F11" s="4">
        <f t="shared" si="2"/>
        <v>10.915049432865183</v>
      </c>
      <c r="G11" s="4">
        <f t="shared" si="3"/>
        <v>5.6528625213365545E-3</v>
      </c>
      <c r="K11" s="11"/>
    </row>
    <row r="12" spans="1:13" ht="15.75" x14ac:dyDescent="0.25">
      <c r="A12" s="4">
        <v>11</v>
      </c>
      <c r="B12" s="5" t="s">
        <v>2</v>
      </c>
      <c r="C12" s="4">
        <f t="shared" si="0"/>
        <v>224</v>
      </c>
      <c r="D12" s="4">
        <v>1178</v>
      </c>
      <c r="E12" s="6">
        <f t="shared" si="1"/>
        <v>6.7786856945563356E-2</v>
      </c>
      <c r="F12" s="4">
        <f t="shared" si="2"/>
        <v>3.8828506104770351</v>
      </c>
      <c r="G12" s="4">
        <f t="shared" si="3"/>
        <v>0.26320623887340011</v>
      </c>
      <c r="I12" s="12"/>
      <c r="K12" s="11"/>
    </row>
    <row r="13" spans="1:13" x14ac:dyDescent="0.25">
      <c r="A13" s="4">
        <v>12</v>
      </c>
      <c r="B13" s="5" t="s">
        <v>3</v>
      </c>
      <c r="C13" s="4">
        <f t="shared" si="0"/>
        <v>225</v>
      </c>
      <c r="D13" s="4">
        <v>226</v>
      </c>
      <c r="E13" s="6">
        <f t="shared" si="1"/>
        <v>1.3004948785821153E-2</v>
      </c>
      <c r="F13" s="4">
        <f t="shared" si="2"/>
        <v>6.2647954718923087</v>
      </c>
      <c r="G13" s="4">
        <f t="shared" si="3"/>
        <v>8.1473344265603737E-2</v>
      </c>
      <c r="K13" s="11"/>
    </row>
    <row r="14" spans="1:13" x14ac:dyDescent="0.25">
      <c r="A14" s="4">
        <v>13</v>
      </c>
      <c r="B14" s="5" t="s">
        <v>4</v>
      </c>
      <c r="C14" s="4">
        <f t="shared" si="0"/>
        <v>226</v>
      </c>
      <c r="D14" s="4">
        <v>573</v>
      </c>
      <c r="E14" s="6">
        <f t="shared" si="1"/>
        <v>3.2972724133962482E-2</v>
      </c>
      <c r="F14" s="4">
        <f t="shared" si="2"/>
        <v>4.9225831055505909</v>
      </c>
      <c r="G14" s="4">
        <f t="shared" si="3"/>
        <v>0.16231097476582396</v>
      </c>
      <c r="K14" s="11"/>
    </row>
    <row r="15" spans="1:13" x14ac:dyDescent="0.25">
      <c r="A15" s="4">
        <v>14</v>
      </c>
      <c r="B15" s="5" t="s">
        <v>5</v>
      </c>
      <c r="C15" s="4">
        <f t="shared" si="0"/>
        <v>227</v>
      </c>
      <c r="D15" s="4">
        <v>243</v>
      </c>
      <c r="E15" s="6">
        <f t="shared" si="1"/>
        <v>1.3983197145816549E-2</v>
      </c>
      <c r="F15" s="4">
        <f t="shared" si="2"/>
        <v>6.1601619307017152</v>
      </c>
      <c r="G15" s="4">
        <f t="shared" si="3"/>
        <v>8.6138758727155984E-2</v>
      </c>
      <c r="K15" s="11"/>
    </row>
    <row r="16" spans="1:13" x14ac:dyDescent="0.25">
      <c r="A16" s="4">
        <v>15</v>
      </c>
      <c r="B16" s="5" t="s">
        <v>6</v>
      </c>
      <c r="C16" s="4">
        <f t="shared" si="0"/>
        <v>228</v>
      </c>
      <c r="D16" s="4">
        <v>435</v>
      </c>
      <c r="E16" s="6">
        <f t="shared" si="1"/>
        <v>2.5031649211646911E-2</v>
      </c>
      <c r="F16" s="4">
        <f t="shared" si="2"/>
        <v>5.3201028435714051</v>
      </c>
      <c r="G16" s="4">
        <f t="shared" si="3"/>
        <v>0.13317094815016464</v>
      </c>
      <c r="K16" s="11"/>
    </row>
    <row r="17" spans="1:7" x14ac:dyDescent="0.25">
      <c r="A17" s="4">
        <v>16</v>
      </c>
      <c r="B17" s="5" t="s">
        <v>7</v>
      </c>
      <c r="C17" s="4">
        <f t="shared" si="0"/>
        <v>229</v>
      </c>
      <c r="D17" s="4">
        <v>1128</v>
      </c>
      <c r="E17" s="6">
        <f t="shared" si="1"/>
        <v>6.4909655886753362E-2</v>
      </c>
      <c r="F17" s="4">
        <f t="shared" si="2"/>
        <v>3.9454230819087028</v>
      </c>
      <c r="G17" s="4">
        <f t="shared" si="3"/>
        <v>0.25609605457434781</v>
      </c>
    </row>
    <row r="18" spans="1:7" x14ac:dyDescent="0.25">
      <c r="A18" s="4">
        <v>17</v>
      </c>
      <c r="B18" s="5" t="s">
        <v>8</v>
      </c>
      <c r="C18" s="4">
        <f t="shared" si="0"/>
        <v>184</v>
      </c>
      <c r="D18" s="4">
        <v>6</v>
      </c>
      <c r="E18" s="6">
        <f t="shared" si="1"/>
        <v>3.4526412705719877E-4</v>
      </c>
      <c r="F18" s="4">
        <f t="shared" si="2"/>
        <v>11.50001193358634</v>
      </c>
      <c r="G18" s="4">
        <f t="shared" si="3"/>
        <v>3.9705415813970557E-3</v>
      </c>
    </row>
    <row r="19" spans="1:7" x14ac:dyDescent="0.25">
      <c r="A19" s="4">
        <v>18</v>
      </c>
      <c r="B19" s="5" t="s">
        <v>9</v>
      </c>
      <c r="C19" s="4">
        <f t="shared" si="0"/>
        <v>230</v>
      </c>
      <c r="D19" s="4">
        <v>135</v>
      </c>
      <c r="E19" s="6">
        <f t="shared" si="1"/>
        <v>7.7684428587869716E-3</v>
      </c>
      <c r="F19" s="4">
        <f t="shared" si="2"/>
        <v>7.0081588372566657</v>
      </c>
      <c r="G19" s="4">
        <f t="shared" si="3"/>
        <v>5.4442481472531348E-2</v>
      </c>
    </row>
    <row r="20" spans="1:7" x14ac:dyDescent="0.25">
      <c r="A20" s="4">
        <v>19</v>
      </c>
      <c r="B20" s="5" t="s">
        <v>10</v>
      </c>
      <c r="C20" s="4">
        <f t="shared" si="0"/>
        <v>231</v>
      </c>
      <c r="D20" s="4">
        <v>216</v>
      </c>
      <c r="E20" s="6">
        <f t="shared" si="1"/>
        <v>1.2429508574059155E-2</v>
      </c>
      <c r="F20" s="4">
        <f t="shared" si="2"/>
        <v>6.3300869321440283</v>
      </c>
      <c r="G20" s="4">
        <f t="shared" si="3"/>
        <v>7.8679869797624008E-2</v>
      </c>
    </row>
    <row r="21" spans="1:7" x14ac:dyDescent="0.25">
      <c r="A21" s="4">
        <v>20</v>
      </c>
      <c r="B21" s="5" t="s">
        <v>11</v>
      </c>
      <c r="C21" s="4">
        <f t="shared" si="0"/>
        <v>232</v>
      </c>
      <c r="D21" s="4">
        <v>839</v>
      </c>
      <c r="E21" s="6">
        <f t="shared" si="1"/>
        <v>4.827943376683163E-2</v>
      </c>
      <c r="F21" s="4">
        <f t="shared" si="2"/>
        <v>4.3724474338676727</v>
      </c>
      <c r="G21" s="4">
        <f t="shared" si="3"/>
        <v>0.21109928628236721</v>
      </c>
    </row>
    <row r="22" spans="1:7" x14ac:dyDescent="0.25">
      <c r="A22" s="4">
        <v>21</v>
      </c>
      <c r="B22" s="5" t="s">
        <v>12</v>
      </c>
      <c r="C22" s="4">
        <f t="shared" si="0"/>
        <v>233</v>
      </c>
      <c r="D22" s="4">
        <v>146</v>
      </c>
      <c r="E22" s="6">
        <f t="shared" si="1"/>
        <v>8.4014270917251704E-3</v>
      </c>
      <c r="F22" s="4">
        <f t="shared" si="2"/>
        <v>6.8951498754274789</v>
      </c>
      <c r="G22" s="4">
        <f t="shared" si="3"/>
        <v>5.7929098964921856E-2</v>
      </c>
    </row>
    <row r="23" spans="1:7" x14ac:dyDescent="0.25">
      <c r="A23" s="4">
        <v>22</v>
      </c>
      <c r="B23" s="5" t="s">
        <v>13</v>
      </c>
      <c r="C23" s="4">
        <f t="shared" si="0"/>
        <v>234</v>
      </c>
      <c r="D23" s="4">
        <v>488</v>
      </c>
      <c r="E23" s="6">
        <f t="shared" si="1"/>
        <v>2.80814823339855E-2</v>
      </c>
      <c r="F23" s="4">
        <f t="shared" si="2"/>
        <v>5.1542370967446089</v>
      </c>
      <c r="G23" s="4">
        <f t="shared" si="3"/>
        <v>0.14473861797740645</v>
      </c>
    </row>
    <row r="24" spans="1:7" x14ac:dyDescent="0.25">
      <c r="A24" s="4">
        <v>23</v>
      </c>
      <c r="B24" s="5" t="s">
        <v>14</v>
      </c>
      <c r="C24" s="4">
        <f t="shared" si="0"/>
        <v>235</v>
      </c>
      <c r="D24" s="4">
        <v>789</v>
      </c>
      <c r="E24" s="6">
        <f t="shared" si="1"/>
        <v>4.5402232708021635E-2</v>
      </c>
      <c r="F24" s="4">
        <f t="shared" si="2"/>
        <v>4.4610929442940375</v>
      </c>
      <c r="G24" s="4">
        <f t="shared" si="3"/>
        <v>0.20254357998895128</v>
      </c>
    </row>
    <row r="25" spans="1:7" x14ac:dyDescent="0.25">
      <c r="A25" s="4">
        <v>24</v>
      </c>
      <c r="B25" s="5" t="s">
        <v>15</v>
      </c>
      <c r="C25" s="4">
        <f t="shared" si="0"/>
        <v>236</v>
      </c>
      <c r="D25" s="4">
        <v>471</v>
      </c>
      <c r="E25" s="6">
        <f t="shared" si="1"/>
        <v>2.7103233973990101E-2</v>
      </c>
      <c r="F25" s="4">
        <f t="shared" si="2"/>
        <v>5.2053911846947134</v>
      </c>
      <c r="G25" s="4">
        <f t="shared" si="3"/>
        <v>0.14108293520492635</v>
      </c>
    </row>
    <row r="26" spans="1:7" x14ac:dyDescent="0.25">
      <c r="A26" s="4">
        <v>25</v>
      </c>
      <c r="B26" s="5" t="s">
        <v>16</v>
      </c>
      <c r="C26" s="4">
        <f t="shared" si="0"/>
        <v>237</v>
      </c>
      <c r="D26" s="4">
        <v>937</v>
      </c>
      <c r="E26" s="6">
        <f t="shared" si="1"/>
        <v>5.3918747842099206E-2</v>
      </c>
      <c r="F26" s="4">
        <f t="shared" si="2"/>
        <v>4.2130691966483091</v>
      </c>
      <c r="G26" s="4">
        <f t="shared" si="3"/>
        <v>0.22716341565539566</v>
      </c>
    </row>
    <row r="27" spans="1:7" x14ac:dyDescent="0.25">
      <c r="A27" s="4">
        <v>26</v>
      </c>
      <c r="B27" s="5" t="s">
        <v>17</v>
      </c>
      <c r="C27" s="4">
        <f t="shared" si="0"/>
        <v>238</v>
      </c>
      <c r="D27" s="4">
        <v>1603</v>
      </c>
      <c r="E27" s="6">
        <f t="shared" si="1"/>
        <v>9.2243065945448274E-2</v>
      </c>
      <c r="F27" s="4">
        <f t="shared" si="2"/>
        <v>3.4384157241529474</v>
      </c>
      <c r="G27" s="4">
        <f t="shared" si="3"/>
        <v>0.31717000839090659</v>
      </c>
    </row>
    <row r="28" spans="1:7" x14ac:dyDescent="0.25">
      <c r="A28" s="4">
        <v>27</v>
      </c>
      <c r="B28" s="5" t="s">
        <v>18</v>
      </c>
      <c r="C28" s="4">
        <f t="shared" si="0"/>
        <v>239</v>
      </c>
      <c r="D28" s="4">
        <v>399</v>
      </c>
      <c r="E28" s="6">
        <f t="shared" si="1"/>
        <v>2.2960064449303718E-2</v>
      </c>
      <c r="F28" s="4">
        <f t="shared" si="2"/>
        <v>5.4447294980851497</v>
      </c>
      <c r="G28" s="4">
        <f t="shared" si="3"/>
        <v>0.12501134018506013</v>
      </c>
    </row>
    <row r="29" spans="1:7" x14ac:dyDescent="0.25">
      <c r="A29" s="4">
        <v>28</v>
      </c>
      <c r="B29" s="5" t="s">
        <v>19</v>
      </c>
      <c r="C29" s="4">
        <f t="shared" si="0"/>
        <v>240</v>
      </c>
      <c r="D29" s="4">
        <v>653</v>
      </c>
      <c r="E29" s="6">
        <f t="shared" si="1"/>
        <v>3.7576245828058463E-2</v>
      </c>
      <c r="F29" s="4">
        <f t="shared" si="2"/>
        <v>4.7340352527610658</v>
      </c>
      <c r="G29" s="4">
        <f t="shared" si="3"/>
        <v>0.1778872724164447</v>
      </c>
    </row>
    <row r="30" spans="1:7" x14ac:dyDescent="0.25">
      <c r="A30" s="4">
        <v>29</v>
      </c>
      <c r="B30" s="5" t="s">
        <v>20</v>
      </c>
      <c r="C30" s="4">
        <f t="shared" si="0"/>
        <v>241</v>
      </c>
      <c r="D30" s="4">
        <v>726</v>
      </c>
      <c r="E30" s="6">
        <f t="shared" si="1"/>
        <v>4.1776959373921049E-2</v>
      </c>
      <c r="F30" s="4">
        <f t="shared" si="2"/>
        <v>4.5811486963117449</v>
      </c>
      <c r="G30" s="4">
        <f t="shared" si="3"/>
        <v>0.19138646297170714</v>
      </c>
    </row>
    <row r="31" spans="1:7" x14ac:dyDescent="0.25">
      <c r="A31" s="4">
        <v>30</v>
      </c>
      <c r="B31" s="5" t="s">
        <v>21</v>
      </c>
      <c r="C31" s="4">
        <f t="shared" si="0"/>
        <v>242</v>
      </c>
      <c r="D31" s="4">
        <v>888</v>
      </c>
      <c r="E31" s="6">
        <f t="shared" si="1"/>
        <v>5.1099090804465418E-2</v>
      </c>
      <c r="F31" s="4">
        <f t="shared" si="2"/>
        <v>4.2905585679573903</v>
      </c>
      <c r="G31" s="4">
        <f t="shared" si="3"/>
        <v>0.21924364186593179</v>
      </c>
    </row>
    <row r="32" spans="1:7" x14ac:dyDescent="0.25">
      <c r="A32" s="4">
        <v>31</v>
      </c>
      <c r="B32" s="5" t="s">
        <v>22</v>
      </c>
      <c r="C32" s="4">
        <f t="shared" si="0"/>
        <v>243</v>
      </c>
      <c r="D32" s="4">
        <v>390</v>
      </c>
      <c r="E32" s="6">
        <f t="shared" si="1"/>
        <v>2.2442168258717921E-2</v>
      </c>
      <c r="F32" s="4">
        <f t="shared" si="2"/>
        <v>5.4776441205578852</v>
      </c>
      <c r="G32" s="4">
        <f t="shared" si="3"/>
        <v>0.12293021101493701</v>
      </c>
    </row>
    <row r="33" spans="1:7" x14ac:dyDescent="0.25">
      <c r="A33" s="4">
        <v>32</v>
      </c>
      <c r="B33" s="5" t="s">
        <v>23</v>
      </c>
      <c r="C33" s="4">
        <f t="shared" si="0"/>
        <v>244</v>
      </c>
      <c r="D33" s="4">
        <v>25</v>
      </c>
      <c r="E33" s="6">
        <f t="shared" si="1"/>
        <v>1.4386005294049948E-3</v>
      </c>
      <c r="F33" s="4">
        <f t="shared" si="2"/>
        <v>9.4411182445327722</v>
      </c>
      <c r="G33" s="4">
        <f t="shared" si="3"/>
        <v>1.3581997704760002E-2</v>
      </c>
    </row>
    <row r="34" spans="1:7" x14ac:dyDescent="0.25">
      <c r="A34" s="4">
        <v>33</v>
      </c>
      <c r="B34" s="5" t="s">
        <v>24</v>
      </c>
      <c r="C34" s="4">
        <f t="shared" si="0"/>
        <v>245</v>
      </c>
      <c r="D34" s="4">
        <v>90</v>
      </c>
      <c r="E34" s="6">
        <f t="shared" si="1"/>
        <v>5.1789619058579817E-3</v>
      </c>
      <c r="F34" s="4">
        <f t="shared" si="2"/>
        <v>7.5931213379778209</v>
      </c>
      <c r="G34" s="4">
        <f t="shared" si="3"/>
        <v>3.932448615594452E-2</v>
      </c>
    </row>
    <row r="35" spans="1:7" x14ac:dyDescent="0.25">
      <c r="A35" s="4">
        <v>34</v>
      </c>
      <c r="B35" s="5" t="s">
        <v>25</v>
      </c>
      <c r="C35" s="4">
        <f t="shared" si="0"/>
        <v>246</v>
      </c>
      <c r="D35" s="4">
        <v>68</v>
      </c>
      <c r="E35" s="6">
        <f t="shared" si="1"/>
        <v>3.9129934399815859E-3</v>
      </c>
      <c r="F35" s="4">
        <f t="shared" si="2"/>
        <v>7.9975115930571574</v>
      </c>
      <c r="G35" s="4">
        <f t="shared" si="3"/>
        <v>3.1294210399809341E-2</v>
      </c>
    </row>
    <row r="36" spans="1:7" x14ac:dyDescent="0.25">
      <c r="A36" s="4">
        <v>35</v>
      </c>
      <c r="B36" s="5" t="s">
        <v>26</v>
      </c>
      <c r="C36" s="4">
        <f t="shared" si="0"/>
        <v>247</v>
      </c>
      <c r="D36" s="4">
        <v>172</v>
      </c>
      <c r="E36" s="6">
        <f t="shared" si="1"/>
        <v>9.8975716423063652E-3</v>
      </c>
      <c r="F36" s="4">
        <f t="shared" si="2"/>
        <v>6.6587096796053977</v>
      </c>
      <c r="G36" s="4">
        <f t="shared" si="3"/>
        <v>6.5905056099213294E-2</v>
      </c>
    </row>
    <row r="37" spans="1:7" x14ac:dyDescent="0.25">
      <c r="A37" s="4">
        <v>36</v>
      </c>
      <c r="B37" s="5" t="s">
        <v>27</v>
      </c>
      <c r="C37" s="4">
        <f t="shared" si="0"/>
        <v>248</v>
      </c>
      <c r="D37" s="4">
        <v>143</v>
      </c>
      <c r="E37" s="6">
        <f t="shared" si="1"/>
        <v>8.2287950281965706E-3</v>
      </c>
      <c r="F37" s="4">
        <f t="shared" si="2"/>
        <v>6.9251030975291066</v>
      </c>
      <c r="G37" s="4">
        <f t="shared" si="3"/>
        <v>5.6985253938696183E-2</v>
      </c>
    </row>
    <row r="38" spans="1:7" x14ac:dyDescent="0.25">
      <c r="A38" s="4">
        <v>37</v>
      </c>
      <c r="B38" s="5" t="s">
        <v>28</v>
      </c>
      <c r="C38" s="4">
        <f t="shared" si="0"/>
        <v>249</v>
      </c>
      <c r="D38" s="4">
        <v>52</v>
      </c>
      <c r="E38" s="6">
        <f t="shared" si="1"/>
        <v>2.9922891011623892E-3</v>
      </c>
      <c r="F38" s="4">
        <f t="shared" si="2"/>
        <v>8.384534716166403</v>
      </c>
      <c r="G38" s="4">
        <f t="shared" si="3"/>
        <v>2.5088951849502415E-2</v>
      </c>
    </row>
    <row r="39" spans="1:7" x14ac:dyDescent="0.25">
      <c r="A39" s="4">
        <v>38</v>
      </c>
      <c r="B39" s="5" t="s">
        <v>29</v>
      </c>
      <c r="C39" s="4">
        <f t="shared" si="0"/>
        <v>250</v>
      </c>
      <c r="D39" s="4">
        <v>3</v>
      </c>
      <c r="E39" s="6">
        <f t="shared" si="1"/>
        <v>1.7263206352859938E-4</v>
      </c>
      <c r="F39" s="4">
        <f t="shared" si="2"/>
        <v>12.50001193358634</v>
      </c>
      <c r="G39" s="4">
        <f t="shared" si="3"/>
        <v>2.1579028542271276E-3</v>
      </c>
    </row>
    <row r="40" spans="1:7" x14ac:dyDescent="0.25">
      <c r="A40" s="4">
        <v>39</v>
      </c>
      <c r="B40" s="5" t="s">
        <v>30</v>
      </c>
      <c r="C40" s="4">
        <f t="shared" si="0"/>
        <v>251</v>
      </c>
      <c r="D40" s="4">
        <v>298</v>
      </c>
      <c r="E40" s="6">
        <f t="shared" si="1"/>
        <v>1.7148118310507537E-2</v>
      </c>
      <c r="F40" s="4">
        <f t="shared" si="2"/>
        <v>5.8658059138453353</v>
      </c>
      <c r="G40" s="4">
        <f t="shared" si="3"/>
        <v>0.10058753379709459</v>
      </c>
    </row>
    <row r="41" spans="1:7" x14ac:dyDescent="0.25">
      <c r="A41" s="4">
        <v>40</v>
      </c>
      <c r="B41" s="5" t="s">
        <v>31</v>
      </c>
      <c r="C41" s="4">
        <f t="shared" si="0"/>
        <v>252</v>
      </c>
      <c r="D41" s="4">
        <v>265</v>
      </c>
      <c r="E41" s="6">
        <f t="shared" si="1"/>
        <v>1.5249165611692945E-2</v>
      </c>
      <c r="F41" s="4">
        <f t="shared" si="2"/>
        <v>6.0351258848569342</v>
      </c>
      <c r="G41" s="4">
        <f t="shared" si="3"/>
        <v>9.2030634105598322E-2</v>
      </c>
    </row>
    <row r="42" spans="1:7" x14ac:dyDescent="0.25">
      <c r="A42" s="4">
        <v>41</v>
      </c>
      <c r="B42" s="5" t="s">
        <v>32</v>
      </c>
      <c r="C42" s="4">
        <f t="shared" si="0"/>
        <v>253</v>
      </c>
      <c r="D42" s="4">
        <v>39</v>
      </c>
      <c r="E42" s="6">
        <f t="shared" si="1"/>
        <v>2.2442168258717918E-3</v>
      </c>
      <c r="F42" s="4">
        <f t="shared" si="2"/>
        <v>8.7995722154452469</v>
      </c>
      <c r="G42" s="4">
        <f t="shared" si="3"/>
        <v>1.9748148026376144E-2</v>
      </c>
    </row>
    <row r="43" spans="1:7" x14ac:dyDescent="0.25">
      <c r="A43" s="4">
        <v>42</v>
      </c>
      <c r="B43" s="5" t="s">
        <v>33</v>
      </c>
      <c r="C43" s="4">
        <f>CODE(B43)</f>
        <v>254</v>
      </c>
      <c r="D43" s="4">
        <v>82</v>
      </c>
      <c r="E43" s="6">
        <f t="shared" si="1"/>
        <v>4.7186097364483827E-3</v>
      </c>
      <c r="F43" s="4">
        <f t="shared" si="2"/>
        <v>7.7274224296894127</v>
      </c>
      <c r="G43" s="4">
        <f t="shared" si="3"/>
        <v>3.646269071438208E-2</v>
      </c>
    </row>
    <row r="44" spans="1:7" x14ac:dyDescent="0.25">
      <c r="A44" s="4">
        <v>43</v>
      </c>
      <c r="B44" s="5" t="s">
        <v>34</v>
      </c>
      <c r="C44" s="4">
        <f t="shared" si="0"/>
        <v>255</v>
      </c>
      <c r="D44" s="4">
        <v>335</v>
      </c>
      <c r="E44" s="6">
        <f t="shared" si="1"/>
        <v>1.9277247094026929E-2</v>
      </c>
      <c r="F44" s="4">
        <f t="shared" si="2"/>
        <v>5.6969571489623609</v>
      </c>
      <c r="G44" s="4">
        <f t="shared" si="3"/>
        <v>0.10982165064463062</v>
      </c>
    </row>
    <row r="45" spans="1:7" x14ac:dyDescent="0.25">
      <c r="A45" s="4">
        <v>44</v>
      </c>
      <c r="B45" s="5" t="s">
        <v>35</v>
      </c>
      <c r="C45" s="4">
        <f t="shared" si="0"/>
        <v>46</v>
      </c>
      <c r="D45" s="4">
        <v>296</v>
      </c>
      <c r="E45" s="6">
        <f t="shared" si="1"/>
        <v>1.7033030268155138E-2</v>
      </c>
      <c r="F45" s="4">
        <f t="shared" si="2"/>
        <v>5.8755210686785464</v>
      </c>
      <c r="G45" s="4">
        <f t="shared" si="3"/>
        <v>0.10007792820398491</v>
      </c>
    </row>
    <row r="46" spans="1:7" x14ac:dyDescent="0.25">
      <c r="A46" s="4">
        <v>45</v>
      </c>
      <c r="B46" s="5" t="s">
        <v>36</v>
      </c>
      <c r="C46" s="4">
        <f t="shared" si="0"/>
        <v>44</v>
      </c>
      <c r="D46" s="4">
        <v>234</v>
      </c>
      <c r="E46" s="6">
        <f t="shared" si="1"/>
        <v>1.3465300955230752E-2</v>
      </c>
      <c r="F46" s="4">
        <f t="shared" si="2"/>
        <v>6.2146097147240917</v>
      </c>
      <c r="G46" s="4">
        <f t="shared" si="3"/>
        <v>8.3681590128060618E-2</v>
      </c>
    </row>
    <row r="47" spans="1:7" x14ac:dyDescent="0.25">
      <c r="A47" s="4">
        <v>46</v>
      </c>
      <c r="B47" s="5" t="s">
        <v>37</v>
      </c>
      <c r="C47" s="4">
        <f t="shared" si="0"/>
        <v>58</v>
      </c>
      <c r="D47" s="4">
        <v>14</v>
      </c>
      <c r="E47" s="6">
        <f t="shared" si="1"/>
        <v>8.0561629646679707E-4</v>
      </c>
      <c r="F47" s="4">
        <f t="shared" si="2"/>
        <v>10.277619512249892</v>
      </c>
      <c r="G47" s="4">
        <f t="shared" si="3"/>
        <v>8.2798177679536469E-3</v>
      </c>
    </row>
    <row r="48" spans="1:7" x14ac:dyDescent="0.25">
      <c r="A48" s="4">
        <v>47</v>
      </c>
      <c r="B48" s="5" t="s">
        <v>38</v>
      </c>
      <c r="C48" s="4">
        <f t="shared" si="0"/>
        <v>59</v>
      </c>
      <c r="D48" s="4">
        <v>8</v>
      </c>
      <c r="E48" s="6">
        <f t="shared" si="1"/>
        <v>4.6035216940959836E-4</v>
      </c>
      <c r="F48" s="4">
        <f t="shared" si="2"/>
        <v>11.084974434307497</v>
      </c>
      <c r="G48" s="4">
        <f t="shared" si="3"/>
        <v>5.1029920286833914E-3</v>
      </c>
    </row>
    <row r="49" spans="1:7" x14ac:dyDescent="0.25">
      <c r="A49" s="4">
        <v>48</v>
      </c>
      <c r="B49" s="5" t="s">
        <v>39</v>
      </c>
      <c r="C49" s="4">
        <f t="shared" si="0"/>
        <v>45</v>
      </c>
      <c r="D49" s="4">
        <v>14</v>
      </c>
      <c r="E49" s="6">
        <f t="shared" si="1"/>
        <v>8.0561629646679707E-4</v>
      </c>
      <c r="F49" s="4">
        <f t="shared" si="2"/>
        <v>10.277619512249892</v>
      </c>
      <c r="G49" s="4">
        <f t="shared" si="3"/>
        <v>8.2798177679536469E-3</v>
      </c>
    </row>
    <row r="50" spans="1:7" x14ac:dyDescent="0.25">
      <c r="A50" s="4">
        <v>49</v>
      </c>
      <c r="B50" s="5" t="s">
        <v>40</v>
      </c>
      <c r="C50" s="4">
        <f t="shared" si="0"/>
        <v>32</v>
      </c>
      <c r="D50" s="4">
        <v>2734</v>
      </c>
      <c r="E50" s="6">
        <f t="shared" si="1"/>
        <v>0.15732535389573024</v>
      </c>
      <c r="F50" s="4">
        <f t="shared" si="2"/>
        <v>2.668176906701436</v>
      </c>
      <c r="G50" s="4">
        <f t="shared" si="3"/>
        <v>0.41977187610321826</v>
      </c>
    </row>
    <row r="51" spans="1:7" x14ac:dyDescent="0.25">
      <c r="A51" s="4">
        <v>50</v>
      </c>
      <c r="B51" s="5" t="s">
        <v>41</v>
      </c>
      <c r="C51" s="4">
        <f t="shared" si="0"/>
        <v>40</v>
      </c>
      <c r="D51" s="4">
        <v>3</v>
      </c>
      <c r="E51" s="6">
        <f t="shared" si="1"/>
        <v>1.7263206352859938E-4</v>
      </c>
      <c r="F51" s="4">
        <f t="shared" si="2"/>
        <v>12.50001193358634</v>
      </c>
      <c r="G51" s="4">
        <f t="shared" si="3"/>
        <v>2.1579028542271276E-3</v>
      </c>
    </row>
    <row r="52" spans="1:7" ht="30" customHeight="1" x14ac:dyDescent="0.25">
      <c r="B52" s="41" t="s">
        <v>46</v>
      </c>
      <c r="C52" s="41"/>
      <c r="D52">
        <f>SUM(D2:D51)</f>
        <v>17378</v>
      </c>
      <c r="E52" s="7"/>
      <c r="G52" s="9">
        <f>SUM(G2:G51)</f>
        <v>4.5004947767136745</v>
      </c>
    </row>
    <row r="53" spans="1:7" x14ac:dyDescent="0.25">
      <c r="B53" s="42" t="s">
        <v>55</v>
      </c>
      <c r="C53" s="42"/>
      <c r="D53">
        <v>2721</v>
      </c>
    </row>
  </sheetData>
  <mergeCells count="2">
    <mergeCell ref="B52:C52"/>
    <mergeCell ref="B53:C53"/>
  </mergeCells>
  <pageMargins left="0.7" right="0.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6"/>
  <sheetViews>
    <sheetView tabSelected="1" zoomScale="90" zoomScaleNormal="90" workbookViewId="0">
      <pane ySplit="1" topLeftCell="A32" activePane="bottomLeft" state="frozen"/>
      <selection pane="bottomLeft" activeCell="A37" sqref="A37"/>
    </sheetView>
  </sheetViews>
  <sheetFormatPr defaultRowHeight="15" customHeight="1" x14ac:dyDescent="0.3"/>
  <cols>
    <col min="1" max="1" width="12.7109375" bestFit="1" customWidth="1"/>
    <col min="2" max="2" width="10.42578125" style="10" bestFit="1" customWidth="1"/>
    <col min="3" max="3" width="16.42578125" style="39" customWidth="1"/>
    <col min="4" max="15" width="10.28515625" customWidth="1"/>
    <col min="16" max="16" width="20.140625" style="23" customWidth="1"/>
    <col min="18" max="18" width="13.42578125" bestFit="1" customWidth="1"/>
  </cols>
  <sheetData>
    <row r="1" spans="1:18" s="28" customFormat="1" ht="36.75" customHeight="1" x14ac:dyDescent="0.25">
      <c r="A1" s="34" t="s">
        <v>0</v>
      </c>
      <c r="B1" s="34" t="s">
        <v>1</v>
      </c>
      <c r="C1" s="38" t="s">
        <v>112</v>
      </c>
      <c r="D1" s="26" t="s">
        <v>56</v>
      </c>
      <c r="E1" s="26" t="s">
        <v>57</v>
      </c>
      <c r="F1" s="26" t="s">
        <v>58</v>
      </c>
      <c r="G1" s="26" t="s">
        <v>59</v>
      </c>
      <c r="H1" s="26" t="s">
        <v>60</v>
      </c>
      <c r="I1" s="26" t="s">
        <v>61</v>
      </c>
      <c r="J1" s="26" t="s">
        <v>62</v>
      </c>
      <c r="K1" s="26" t="s">
        <v>63</v>
      </c>
      <c r="L1" s="26" t="s">
        <v>64</v>
      </c>
      <c r="M1" s="26" t="s">
        <v>65</v>
      </c>
      <c r="N1" s="26" t="s">
        <v>66</v>
      </c>
      <c r="O1" s="26" t="s">
        <v>67</v>
      </c>
      <c r="P1" s="27" t="s">
        <v>42</v>
      </c>
      <c r="Q1" s="34" t="s">
        <v>113</v>
      </c>
      <c r="R1" s="34" t="s">
        <v>114</v>
      </c>
    </row>
    <row r="2" spans="1:18" ht="17.100000000000001" customHeight="1" x14ac:dyDescent="0.3">
      <c r="A2" s="4">
        <v>1</v>
      </c>
      <c r="B2" s="5" t="s">
        <v>40</v>
      </c>
      <c r="C2" s="37">
        <v>0.1573</v>
      </c>
      <c r="D2" s="45">
        <v>1</v>
      </c>
      <c r="E2" s="43">
        <v>1</v>
      </c>
      <c r="F2" s="34">
        <v>1</v>
      </c>
      <c r="G2" s="34"/>
      <c r="H2" s="20"/>
      <c r="I2" s="2"/>
      <c r="J2" s="4"/>
      <c r="K2" s="4"/>
      <c r="L2" s="4"/>
      <c r="M2" s="4"/>
      <c r="N2" s="4"/>
      <c r="O2" s="4"/>
      <c r="P2" s="24">
        <v>111</v>
      </c>
      <c r="Q2" s="4">
        <v>3</v>
      </c>
      <c r="R2" s="4">
        <f>Q2*C2</f>
        <v>0.47189999999999999</v>
      </c>
    </row>
    <row r="3" spans="1:18" ht="17.100000000000001" customHeight="1" x14ac:dyDescent="0.3">
      <c r="A3" s="4">
        <v>2</v>
      </c>
      <c r="B3" s="5" t="s">
        <v>17</v>
      </c>
      <c r="C3" s="37">
        <v>9.2200000000000004E-2</v>
      </c>
      <c r="D3" s="45"/>
      <c r="E3" s="43"/>
      <c r="F3" s="34">
        <v>0</v>
      </c>
      <c r="G3" s="34"/>
      <c r="H3" s="20"/>
      <c r="I3" s="2"/>
      <c r="J3" s="4"/>
      <c r="K3" s="4"/>
      <c r="L3" s="4"/>
      <c r="M3" s="4"/>
      <c r="N3" s="4"/>
      <c r="O3" s="4"/>
      <c r="P3" s="24">
        <v>110</v>
      </c>
      <c r="Q3" s="4">
        <v>3</v>
      </c>
      <c r="R3" s="4">
        <f t="shared" ref="R3:R51" si="0">Q3*C3</f>
        <v>0.27660000000000001</v>
      </c>
    </row>
    <row r="4" spans="1:18" ht="17.100000000000001" customHeight="1" x14ac:dyDescent="0.3">
      <c r="A4" s="4">
        <v>3</v>
      </c>
      <c r="B4" s="5" t="s">
        <v>2</v>
      </c>
      <c r="C4" s="37">
        <v>6.7799999999999999E-2</v>
      </c>
      <c r="D4" s="45"/>
      <c r="E4" s="43">
        <v>0</v>
      </c>
      <c r="F4" s="43">
        <v>1</v>
      </c>
      <c r="G4" s="34">
        <v>1</v>
      </c>
      <c r="H4" s="20"/>
      <c r="I4" s="2"/>
      <c r="J4" s="4"/>
      <c r="K4" s="4"/>
      <c r="L4" s="4"/>
      <c r="M4" s="4"/>
      <c r="N4" s="4"/>
      <c r="O4" s="4"/>
      <c r="P4" s="24">
        <v>1011</v>
      </c>
      <c r="Q4" s="4">
        <v>4</v>
      </c>
      <c r="R4" s="4">
        <f t="shared" si="0"/>
        <v>0.2712</v>
      </c>
    </row>
    <row r="5" spans="1:18" ht="17.100000000000001" customHeight="1" x14ac:dyDescent="0.3">
      <c r="A5" s="4">
        <v>4</v>
      </c>
      <c r="B5" s="5" t="s">
        <v>7</v>
      </c>
      <c r="C5" s="37">
        <v>6.4899999999999999E-2</v>
      </c>
      <c r="D5" s="45"/>
      <c r="E5" s="43"/>
      <c r="F5" s="43"/>
      <c r="G5" s="34">
        <v>0</v>
      </c>
      <c r="H5" s="20"/>
      <c r="I5" s="2"/>
      <c r="J5" s="4"/>
      <c r="K5" s="4"/>
      <c r="L5" s="4"/>
      <c r="M5" s="4"/>
      <c r="N5" s="4"/>
      <c r="O5" s="4"/>
      <c r="P5" s="24">
        <v>1010</v>
      </c>
      <c r="Q5" s="4">
        <v>4</v>
      </c>
      <c r="R5" s="4">
        <f t="shared" si="0"/>
        <v>0.2596</v>
      </c>
    </row>
    <row r="6" spans="1:18" ht="17.100000000000001" customHeight="1" x14ac:dyDescent="0.3">
      <c r="A6" s="4">
        <v>5</v>
      </c>
      <c r="B6" s="5" t="s">
        <v>16</v>
      </c>
      <c r="C6" s="37">
        <v>5.3900000000000003E-2</v>
      </c>
      <c r="D6" s="45"/>
      <c r="E6" s="43"/>
      <c r="F6" s="43">
        <v>0</v>
      </c>
      <c r="G6" s="34">
        <v>1</v>
      </c>
      <c r="H6" s="20"/>
      <c r="I6" s="2"/>
      <c r="J6" s="4"/>
      <c r="K6" s="4"/>
      <c r="L6" s="4"/>
      <c r="M6" s="4"/>
      <c r="N6" s="4"/>
      <c r="O6" s="4"/>
      <c r="P6" s="24">
        <v>1001</v>
      </c>
      <c r="Q6" s="4">
        <v>4</v>
      </c>
      <c r="R6" s="4">
        <f t="shared" si="0"/>
        <v>0.21560000000000001</v>
      </c>
    </row>
    <row r="7" spans="1:18" ht="17.100000000000001" customHeight="1" x14ac:dyDescent="0.3">
      <c r="A7" s="4">
        <v>6</v>
      </c>
      <c r="B7" s="5" t="s">
        <v>21</v>
      </c>
      <c r="C7" s="37">
        <v>5.11E-2</v>
      </c>
      <c r="D7" s="45"/>
      <c r="E7" s="43"/>
      <c r="F7" s="43"/>
      <c r="G7" s="34">
        <v>0</v>
      </c>
      <c r="H7" s="20"/>
      <c r="I7" s="2"/>
      <c r="J7" s="4"/>
      <c r="K7" s="4"/>
      <c r="L7" s="4"/>
      <c r="M7" s="4"/>
      <c r="N7" s="4"/>
      <c r="O7" s="4"/>
      <c r="P7" s="24">
        <v>1000</v>
      </c>
      <c r="Q7" s="4">
        <v>4</v>
      </c>
      <c r="R7" s="4">
        <f t="shared" si="0"/>
        <v>0.2044</v>
      </c>
    </row>
    <row r="8" spans="1:18" ht="17.100000000000001" customHeight="1" x14ac:dyDescent="0.3">
      <c r="A8" s="4">
        <v>7</v>
      </c>
      <c r="B8" s="5" t="s">
        <v>11</v>
      </c>
      <c r="C8" s="37">
        <v>4.8300000000000003E-2</v>
      </c>
      <c r="D8" s="45">
        <v>0</v>
      </c>
      <c r="E8" s="43">
        <v>1</v>
      </c>
      <c r="F8" s="43">
        <v>1</v>
      </c>
      <c r="G8" s="34">
        <v>1</v>
      </c>
      <c r="H8" s="20"/>
      <c r="I8" s="21"/>
      <c r="J8" s="6"/>
      <c r="K8" s="6"/>
      <c r="L8" s="4"/>
      <c r="M8" s="4"/>
      <c r="N8" s="4"/>
      <c r="O8" s="4"/>
      <c r="P8" s="24" t="s">
        <v>68</v>
      </c>
      <c r="Q8" s="4">
        <v>4</v>
      </c>
      <c r="R8" s="4">
        <f t="shared" si="0"/>
        <v>0.19320000000000001</v>
      </c>
    </row>
    <row r="9" spans="1:18" ht="17.100000000000001" customHeight="1" x14ac:dyDescent="0.3">
      <c r="A9" s="4">
        <v>8</v>
      </c>
      <c r="B9" s="5" t="s">
        <v>14</v>
      </c>
      <c r="C9" s="37">
        <v>4.5400000000000003E-2</v>
      </c>
      <c r="D9" s="45"/>
      <c r="E9" s="43"/>
      <c r="F9" s="43"/>
      <c r="G9" s="43">
        <v>0</v>
      </c>
      <c r="H9" s="34">
        <v>1</v>
      </c>
      <c r="I9" s="2"/>
      <c r="J9" s="4"/>
      <c r="K9" s="4"/>
      <c r="L9" s="4"/>
      <c r="M9" s="4"/>
      <c r="N9" s="4"/>
      <c r="O9" s="4"/>
      <c r="P9" s="24" t="s">
        <v>69</v>
      </c>
      <c r="Q9" s="4">
        <v>5</v>
      </c>
      <c r="R9" s="4">
        <f t="shared" si="0"/>
        <v>0.22700000000000001</v>
      </c>
    </row>
    <row r="10" spans="1:18" ht="17.100000000000001" customHeight="1" x14ac:dyDescent="0.3">
      <c r="A10" s="4">
        <v>9</v>
      </c>
      <c r="B10" s="5" t="s">
        <v>20</v>
      </c>
      <c r="C10" s="37">
        <v>4.1799999999999997E-2</v>
      </c>
      <c r="D10" s="45"/>
      <c r="E10" s="43"/>
      <c r="F10" s="43"/>
      <c r="G10" s="43"/>
      <c r="H10" s="34">
        <v>0</v>
      </c>
      <c r="I10" s="2"/>
      <c r="J10" s="4"/>
      <c r="K10" s="4"/>
      <c r="L10" s="4"/>
      <c r="M10" s="4"/>
      <c r="N10" s="4"/>
      <c r="O10" s="4"/>
      <c r="P10" s="24" t="s">
        <v>70</v>
      </c>
      <c r="Q10" s="4">
        <v>5</v>
      </c>
      <c r="R10" s="4">
        <f t="shared" si="0"/>
        <v>0.20899999999999999</v>
      </c>
    </row>
    <row r="11" spans="1:18" ht="17.100000000000001" customHeight="1" x14ac:dyDescent="0.3">
      <c r="A11" s="4">
        <v>10</v>
      </c>
      <c r="B11" s="5" t="s">
        <v>19</v>
      </c>
      <c r="C11" s="37">
        <v>3.7600000000000001E-2</v>
      </c>
      <c r="D11" s="45"/>
      <c r="E11" s="43"/>
      <c r="F11" s="43">
        <v>0</v>
      </c>
      <c r="G11" s="43">
        <v>1</v>
      </c>
      <c r="H11" s="34">
        <v>1</v>
      </c>
      <c r="I11" s="2"/>
      <c r="J11" s="4"/>
      <c r="K11" s="4"/>
      <c r="L11" s="4"/>
      <c r="M11" s="4"/>
      <c r="N11" s="4"/>
      <c r="O11" s="4"/>
      <c r="P11" s="24" t="s">
        <v>71</v>
      </c>
      <c r="Q11" s="4">
        <v>5</v>
      </c>
      <c r="R11" s="4">
        <f t="shared" si="0"/>
        <v>0.188</v>
      </c>
    </row>
    <row r="12" spans="1:18" ht="17.100000000000001" customHeight="1" x14ac:dyDescent="0.3">
      <c r="A12" s="4">
        <v>11</v>
      </c>
      <c r="B12" s="5" t="s">
        <v>4</v>
      </c>
      <c r="C12" s="37">
        <v>3.3000000000000002E-2</v>
      </c>
      <c r="D12" s="45"/>
      <c r="E12" s="43"/>
      <c r="F12" s="43"/>
      <c r="G12" s="43"/>
      <c r="H12" s="34">
        <v>0</v>
      </c>
      <c r="I12" s="2"/>
      <c r="J12" s="4"/>
      <c r="K12" s="4"/>
      <c r="L12" s="4"/>
      <c r="M12" s="4"/>
      <c r="N12" s="4"/>
      <c r="O12" s="4"/>
      <c r="P12" s="24" t="s">
        <v>72</v>
      </c>
      <c r="Q12" s="4">
        <v>5</v>
      </c>
      <c r="R12" s="4">
        <f t="shared" si="0"/>
        <v>0.16500000000000001</v>
      </c>
    </row>
    <row r="13" spans="1:18" ht="17.100000000000001" customHeight="1" x14ac:dyDescent="0.3">
      <c r="A13" s="4">
        <v>12</v>
      </c>
      <c r="B13" s="5" t="s">
        <v>13</v>
      </c>
      <c r="C13" s="37">
        <v>2.81E-2</v>
      </c>
      <c r="D13" s="45"/>
      <c r="E13" s="43"/>
      <c r="F13" s="43"/>
      <c r="G13" s="43">
        <v>0</v>
      </c>
      <c r="H13" s="34">
        <v>1</v>
      </c>
      <c r="I13" s="2"/>
      <c r="J13" s="4"/>
      <c r="K13" s="4"/>
      <c r="L13" s="4"/>
      <c r="M13" s="4"/>
      <c r="N13" s="4"/>
      <c r="O13" s="4"/>
      <c r="P13" s="24" t="s">
        <v>73</v>
      </c>
      <c r="Q13" s="4">
        <v>5</v>
      </c>
      <c r="R13" s="4">
        <f t="shared" si="0"/>
        <v>0.14050000000000001</v>
      </c>
    </row>
    <row r="14" spans="1:18" ht="17.100000000000001" customHeight="1" x14ac:dyDescent="0.3">
      <c r="A14" s="4">
        <v>13</v>
      </c>
      <c r="B14" s="5" t="s">
        <v>15</v>
      </c>
      <c r="C14" s="37">
        <v>2.7099999999999999E-2</v>
      </c>
      <c r="D14" s="45"/>
      <c r="E14" s="43"/>
      <c r="F14" s="43"/>
      <c r="G14" s="43"/>
      <c r="H14" s="34">
        <v>0</v>
      </c>
      <c r="I14" s="2"/>
      <c r="J14" s="4"/>
      <c r="K14" s="4"/>
      <c r="L14" s="4"/>
      <c r="M14" s="4"/>
      <c r="N14" s="4"/>
      <c r="O14" s="4"/>
      <c r="P14" s="24" t="s">
        <v>74</v>
      </c>
      <c r="Q14" s="4">
        <v>5</v>
      </c>
      <c r="R14" s="4">
        <f t="shared" si="0"/>
        <v>0.13550000000000001</v>
      </c>
    </row>
    <row r="15" spans="1:18" ht="17.100000000000001" customHeight="1" x14ac:dyDescent="0.3">
      <c r="A15" s="4">
        <v>14</v>
      </c>
      <c r="B15" s="5" t="s">
        <v>6</v>
      </c>
      <c r="C15" s="37">
        <v>2.5000000000000001E-2</v>
      </c>
      <c r="D15" s="45"/>
      <c r="E15" s="43">
        <v>0</v>
      </c>
      <c r="F15" s="43">
        <v>1</v>
      </c>
      <c r="G15" s="43">
        <v>1</v>
      </c>
      <c r="H15" s="43">
        <v>1</v>
      </c>
      <c r="I15" s="34">
        <v>1</v>
      </c>
      <c r="J15" s="4"/>
      <c r="K15" s="6"/>
      <c r="L15" s="6"/>
      <c r="M15" s="4"/>
      <c r="N15" s="4"/>
      <c r="O15" s="4"/>
      <c r="P15" s="24" t="s">
        <v>75</v>
      </c>
      <c r="Q15" s="4">
        <v>6</v>
      </c>
      <c r="R15" s="4">
        <f t="shared" si="0"/>
        <v>0.15000000000000002</v>
      </c>
    </row>
    <row r="16" spans="1:18" ht="17.100000000000001" customHeight="1" x14ac:dyDescent="0.3">
      <c r="A16" s="4">
        <v>15</v>
      </c>
      <c r="B16" s="5" t="s">
        <v>18</v>
      </c>
      <c r="C16" s="37">
        <v>2.3E-2</v>
      </c>
      <c r="D16" s="45"/>
      <c r="E16" s="43"/>
      <c r="F16" s="43"/>
      <c r="G16" s="43"/>
      <c r="H16" s="43"/>
      <c r="I16" s="34">
        <v>0</v>
      </c>
      <c r="J16" s="4"/>
      <c r="K16" s="4"/>
      <c r="L16" s="4"/>
      <c r="M16" s="4"/>
      <c r="N16" s="4"/>
      <c r="O16" s="4"/>
      <c r="P16" s="24" t="s">
        <v>76</v>
      </c>
      <c r="Q16" s="4">
        <v>6</v>
      </c>
      <c r="R16" s="4">
        <f t="shared" si="0"/>
        <v>0.13800000000000001</v>
      </c>
    </row>
    <row r="17" spans="1:18" ht="17.100000000000001" customHeight="1" x14ac:dyDescent="0.3">
      <c r="A17" s="4">
        <v>16</v>
      </c>
      <c r="B17" s="5" t="s">
        <v>22</v>
      </c>
      <c r="C17" s="37">
        <v>2.24E-2</v>
      </c>
      <c r="D17" s="45"/>
      <c r="E17" s="43"/>
      <c r="F17" s="43"/>
      <c r="G17" s="43"/>
      <c r="H17" s="43">
        <v>0</v>
      </c>
      <c r="I17" s="34">
        <v>1</v>
      </c>
      <c r="J17" s="4"/>
      <c r="K17" s="4"/>
      <c r="L17" s="4"/>
      <c r="M17" s="4"/>
      <c r="N17" s="4"/>
      <c r="O17" s="4"/>
      <c r="P17" s="24" t="s">
        <v>77</v>
      </c>
      <c r="Q17" s="4">
        <v>6</v>
      </c>
      <c r="R17" s="4">
        <f t="shared" si="0"/>
        <v>0.13439999999999999</v>
      </c>
    </row>
    <row r="18" spans="1:18" ht="17.100000000000001" customHeight="1" x14ac:dyDescent="0.3">
      <c r="A18" s="4">
        <v>17</v>
      </c>
      <c r="B18" s="5" t="s">
        <v>34</v>
      </c>
      <c r="C18" s="37">
        <v>1.9300000000000001E-2</v>
      </c>
      <c r="D18" s="45"/>
      <c r="E18" s="43"/>
      <c r="F18" s="43"/>
      <c r="G18" s="43"/>
      <c r="H18" s="43"/>
      <c r="I18" s="34">
        <v>0</v>
      </c>
      <c r="J18" s="4"/>
      <c r="K18" s="4"/>
      <c r="L18" s="4"/>
      <c r="M18" s="4"/>
      <c r="N18" s="4"/>
      <c r="O18" s="4"/>
      <c r="P18" s="24" t="s">
        <v>78</v>
      </c>
      <c r="Q18" s="4">
        <v>6</v>
      </c>
      <c r="R18" s="4">
        <f t="shared" si="0"/>
        <v>0.11580000000000001</v>
      </c>
    </row>
    <row r="19" spans="1:18" ht="17.100000000000001" customHeight="1" x14ac:dyDescent="0.3">
      <c r="A19" s="4">
        <v>18</v>
      </c>
      <c r="B19" s="5" t="s">
        <v>30</v>
      </c>
      <c r="C19" s="37">
        <v>1.7100000000000001E-2</v>
      </c>
      <c r="D19" s="45"/>
      <c r="E19" s="43"/>
      <c r="F19" s="43"/>
      <c r="G19" s="43">
        <v>0</v>
      </c>
      <c r="H19" s="43">
        <v>1</v>
      </c>
      <c r="I19" s="34">
        <v>1</v>
      </c>
      <c r="J19" s="4"/>
      <c r="K19" s="4"/>
      <c r="L19" s="4"/>
      <c r="M19" s="4"/>
      <c r="N19" s="4"/>
      <c r="O19" s="4"/>
      <c r="P19" s="24" t="s">
        <v>79</v>
      </c>
      <c r="Q19" s="4">
        <v>6</v>
      </c>
      <c r="R19" s="4">
        <f t="shared" si="0"/>
        <v>0.1026</v>
      </c>
    </row>
    <row r="20" spans="1:18" ht="17.100000000000001" customHeight="1" x14ac:dyDescent="0.3">
      <c r="A20" s="4">
        <v>19</v>
      </c>
      <c r="B20" s="5" t="s">
        <v>35</v>
      </c>
      <c r="C20" s="37">
        <v>1.7000000000000001E-2</v>
      </c>
      <c r="D20" s="45"/>
      <c r="E20" s="43"/>
      <c r="F20" s="43"/>
      <c r="G20" s="43"/>
      <c r="H20" s="43"/>
      <c r="I20" s="34">
        <v>0</v>
      </c>
      <c r="J20" s="4"/>
      <c r="K20" s="4"/>
      <c r="L20" s="4"/>
      <c r="M20" s="4"/>
      <c r="N20" s="4"/>
      <c r="O20" s="4"/>
      <c r="P20" s="24" t="s">
        <v>80</v>
      </c>
      <c r="Q20" s="4">
        <v>6</v>
      </c>
      <c r="R20" s="4">
        <f t="shared" si="0"/>
        <v>0.10200000000000001</v>
      </c>
    </row>
    <row r="21" spans="1:18" ht="17.100000000000001" customHeight="1" x14ac:dyDescent="0.3">
      <c r="A21" s="4">
        <v>20</v>
      </c>
      <c r="B21" s="5" t="s">
        <v>31</v>
      </c>
      <c r="C21" s="37">
        <v>1.52E-2</v>
      </c>
      <c r="D21" s="45"/>
      <c r="E21" s="43"/>
      <c r="F21" s="43"/>
      <c r="G21" s="43"/>
      <c r="H21" s="43">
        <v>0</v>
      </c>
      <c r="I21" s="34">
        <v>1</v>
      </c>
      <c r="J21" s="4"/>
      <c r="K21" s="4"/>
      <c r="L21" s="4"/>
      <c r="M21" s="4"/>
      <c r="N21" s="4"/>
      <c r="O21" s="4"/>
      <c r="P21" s="24" t="s">
        <v>81</v>
      </c>
      <c r="Q21" s="4">
        <v>6</v>
      </c>
      <c r="R21" s="4">
        <f t="shared" si="0"/>
        <v>9.1200000000000003E-2</v>
      </c>
    </row>
    <row r="22" spans="1:18" ht="17.100000000000001" customHeight="1" x14ac:dyDescent="0.3">
      <c r="A22" s="4">
        <v>21</v>
      </c>
      <c r="B22" s="5" t="s">
        <v>5</v>
      </c>
      <c r="C22" s="37">
        <v>1.4E-2</v>
      </c>
      <c r="D22" s="45"/>
      <c r="E22" s="43"/>
      <c r="F22" s="43"/>
      <c r="G22" s="43"/>
      <c r="H22" s="43"/>
      <c r="I22" s="34">
        <v>0</v>
      </c>
      <c r="J22" s="4"/>
      <c r="K22" s="4"/>
      <c r="L22" s="4"/>
      <c r="M22" s="4"/>
      <c r="N22" s="4"/>
      <c r="O22" s="4"/>
      <c r="P22" s="24" t="s">
        <v>82</v>
      </c>
      <c r="Q22" s="4">
        <v>6</v>
      </c>
      <c r="R22" s="4">
        <f t="shared" si="0"/>
        <v>8.4000000000000005E-2</v>
      </c>
    </row>
    <row r="23" spans="1:18" ht="17.100000000000001" customHeight="1" x14ac:dyDescent="0.3">
      <c r="A23" s="4">
        <v>22</v>
      </c>
      <c r="B23" s="5" t="s">
        <v>36</v>
      </c>
      <c r="C23" s="37">
        <v>1.35E-2</v>
      </c>
      <c r="D23" s="45"/>
      <c r="E23" s="43"/>
      <c r="F23" s="43">
        <v>0</v>
      </c>
      <c r="G23" s="43">
        <v>1</v>
      </c>
      <c r="H23" s="43">
        <v>1</v>
      </c>
      <c r="I23" s="34">
        <v>1</v>
      </c>
      <c r="J23" s="4"/>
      <c r="K23" s="6"/>
      <c r="L23" s="6"/>
      <c r="M23" s="4"/>
      <c r="N23" s="4"/>
      <c r="O23" s="4"/>
      <c r="P23" s="24" t="s">
        <v>83</v>
      </c>
      <c r="Q23" s="4">
        <v>6</v>
      </c>
      <c r="R23" s="4">
        <f t="shared" si="0"/>
        <v>8.1000000000000003E-2</v>
      </c>
    </row>
    <row r="24" spans="1:18" ht="17.100000000000001" customHeight="1" x14ac:dyDescent="0.3">
      <c r="A24" s="4">
        <v>23</v>
      </c>
      <c r="B24" s="5" t="s">
        <v>3</v>
      </c>
      <c r="C24" s="37">
        <v>1.2999999999999999E-2</v>
      </c>
      <c r="D24" s="45"/>
      <c r="E24" s="43"/>
      <c r="F24" s="43"/>
      <c r="G24" s="43"/>
      <c r="H24" s="43"/>
      <c r="I24" s="34">
        <v>0</v>
      </c>
      <c r="J24" s="4"/>
      <c r="K24" s="4"/>
      <c r="L24" s="4"/>
      <c r="M24" s="4"/>
      <c r="N24" s="4"/>
      <c r="O24" s="4"/>
      <c r="P24" s="24" t="s">
        <v>84</v>
      </c>
      <c r="Q24" s="4">
        <v>6</v>
      </c>
      <c r="R24" s="4">
        <f t="shared" si="0"/>
        <v>7.8E-2</v>
      </c>
    </row>
    <row r="25" spans="1:18" ht="17.100000000000001" customHeight="1" x14ac:dyDescent="0.3">
      <c r="A25" s="4">
        <v>24</v>
      </c>
      <c r="B25" s="5" t="s">
        <v>10</v>
      </c>
      <c r="C25" s="37">
        <v>1.24E-2</v>
      </c>
      <c r="D25" s="45"/>
      <c r="E25" s="43"/>
      <c r="F25" s="43"/>
      <c r="G25" s="43"/>
      <c r="H25" s="43">
        <v>0</v>
      </c>
      <c r="I25" s="34">
        <v>1</v>
      </c>
      <c r="J25" s="4"/>
      <c r="K25" s="4"/>
      <c r="L25" s="4"/>
      <c r="M25" s="4"/>
      <c r="N25" s="4"/>
      <c r="O25" s="4"/>
      <c r="P25" s="24" t="s">
        <v>85</v>
      </c>
      <c r="Q25" s="4">
        <v>6</v>
      </c>
      <c r="R25" s="4">
        <f t="shared" si="0"/>
        <v>7.4399999999999994E-2</v>
      </c>
    </row>
    <row r="26" spans="1:18" ht="17.100000000000001" customHeight="1" x14ac:dyDescent="0.3">
      <c r="A26" s="4">
        <v>25</v>
      </c>
      <c r="B26" s="5" t="s">
        <v>26</v>
      </c>
      <c r="C26" s="37">
        <v>9.9000000000000008E-3</v>
      </c>
      <c r="D26" s="45"/>
      <c r="E26" s="43"/>
      <c r="F26" s="43"/>
      <c r="G26" s="43"/>
      <c r="H26" s="43"/>
      <c r="I26" s="34">
        <v>0</v>
      </c>
      <c r="J26" s="4"/>
      <c r="K26" s="4"/>
      <c r="L26" s="4"/>
      <c r="M26" s="4"/>
      <c r="N26" s="4"/>
      <c r="O26" s="4"/>
      <c r="P26" s="24" t="s">
        <v>86</v>
      </c>
      <c r="Q26" s="4">
        <v>6</v>
      </c>
      <c r="R26" s="4">
        <f t="shared" si="0"/>
        <v>5.9400000000000008E-2</v>
      </c>
    </row>
    <row r="27" spans="1:18" ht="17.100000000000001" customHeight="1" x14ac:dyDescent="0.3">
      <c r="A27" s="4">
        <v>26</v>
      </c>
      <c r="B27" s="5" t="s">
        <v>12</v>
      </c>
      <c r="C27" s="37">
        <v>8.3999999999999995E-3</v>
      </c>
      <c r="D27" s="45"/>
      <c r="E27" s="43"/>
      <c r="F27" s="43"/>
      <c r="G27" s="43">
        <v>0</v>
      </c>
      <c r="H27" s="43">
        <v>1</v>
      </c>
      <c r="I27" s="43">
        <v>1</v>
      </c>
      <c r="J27" s="34">
        <v>1</v>
      </c>
      <c r="K27" s="6"/>
      <c r="L27" s="6"/>
      <c r="M27" s="4"/>
      <c r="N27" s="4"/>
      <c r="O27" s="4"/>
      <c r="P27" s="24" t="s">
        <v>87</v>
      </c>
      <c r="Q27" s="4">
        <v>7</v>
      </c>
      <c r="R27" s="4">
        <f t="shared" si="0"/>
        <v>5.8799999999999998E-2</v>
      </c>
    </row>
    <row r="28" spans="1:18" ht="17.100000000000001" customHeight="1" x14ac:dyDescent="0.3">
      <c r="A28" s="4">
        <v>27</v>
      </c>
      <c r="B28" s="5" t="s">
        <v>27</v>
      </c>
      <c r="C28" s="37">
        <v>8.2000000000000007E-3</v>
      </c>
      <c r="D28" s="45"/>
      <c r="E28" s="43"/>
      <c r="F28" s="43"/>
      <c r="G28" s="43"/>
      <c r="H28" s="43"/>
      <c r="I28" s="43"/>
      <c r="J28" s="34">
        <v>0</v>
      </c>
      <c r="K28" s="4"/>
      <c r="L28" s="4"/>
      <c r="M28" s="4"/>
      <c r="N28" s="4"/>
      <c r="O28" s="4"/>
      <c r="P28" s="24" t="s">
        <v>88</v>
      </c>
      <c r="Q28" s="4">
        <v>7</v>
      </c>
      <c r="R28" s="4">
        <f t="shared" si="0"/>
        <v>5.7400000000000007E-2</v>
      </c>
    </row>
    <row r="29" spans="1:18" ht="17.100000000000001" customHeight="1" x14ac:dyDescent="0.3">
      <c r="A29" s="4">
        <v>28</v>
      </c>
      <c r="B29" s="5" t="s">
        <v>9</v>
      </c>
      <c r="C29" s="37">
        <v>7.7999999999999996E-3</v>
      </c>
      <c r="D29" s="45"/>
      <c r="E29" s="43"/>
      <c r="F29" s="43"/>
      <c r="G29" s="43"/>
      <c r="H29" s="43"/>
      <c r="I29" s="43">
        <v>0</v>
      </c>
      <c r="J29" s="34">
        <v>1</v>
      </c>
      <c r="K29" s="4"/>
      <c r="L29" s="4"/>
      <c r="M29" s="4"/>
      <c r="N29" s="4"/>
      <c r="O29" s="4"/>
      <c r="P29" s="24" t="s">
        <v>89</v>
      </c>
      <c r="Q29" s="4">
        <v>7</v>
      </c>
      <c r="R29" s="4">
        <f t="shared" si="0"/>
        <v>5.4599999999999996E-2</v>
      </c>
    </row>
    <row r="30" spans="1:18" ht="17.100000000000001" customHeight="1" x14ac:dyDescent="0.3">
      <c r="A30" s="4">
        <v>29</v>
      </c>
      <c r="B30" s="5" t="s">
        <v>24</v>
      </c>
      <c r="C30" s="37">
        <v>5.1999999999999998E-3</v>
      </c>
      <c r="D30" s="45"/>
      <c r="E30" s="43"/>
      <c r="F30" s="43"/>
      <c r="G30" s="43"/>
      <c r="H30" s="43"/>
      <c r="I30" s="43"/>
      <c r="J30" s="34">
        <v>0</v>
      </c>
      <c r="K30" s="4"/>
      <c r="L30" s="4"/>
      <c r="M30" s="4"/>
      <c r="N30" s="4"/>
      <c r="O30" s="4"/>
      <c r="P30" s="24" t="s">
        <v>90</v>
      </c>
      <c r="Q30" s="4">
        <v>7</v>
      </c>
      <c r="R30" s="4">
        <f t="shared" si="0"/>
        <v>3.6400000000000002E-2</v>
      </c>
    </row>
    <row r="31" spans="1:18" ht="17.100000000000001" customHeight="1" x14ac:dyDescent="0.3">
      <c r="A31" s="4">
        <v>30</v>
      </c>
      <c r="B31" s="5" t="s">
        <v>33</v>
      </c>
      <c r="C31" s="37">
        <v>4.7000000000000002E-3</v>
      </c>
      <c r="D31" s="45"/>
      <c r="E31" s="43"/>
      <c r="F31" s="43"/>
      <c r="G31" s="43"/>
      <c r="H31" s="43">
        <v>0</v>
      </c>
      <c r="I31" s="43">
        <v>1</v>
      </c>
      <c r="J31" s="43">
        <v>1</v>
      </c>
      <c r="K31" s="34">
        <v>1</v>
      </c>
      <c r="L31" s="6"/>
      <c r="M31" s="4"/>
      <c r="N31" s="4"/>
      <c r="O31" s="4"/>
      <c r="P31" s="24" t="s">
        <v>91</v>
      </c>
      <c r="Q31" s="4">
        <v>8</v>
      </c>
      <c r="R31" s="4">
        <f t="shared" si="0"/>
        <v>3.7600000000000001E-2</v>
      </c>
    </row>
    <row r="32" spans="1:18" ht="17.100000000000001" customHeight="1" x14ac:dyDescent="0.3">
      <c r="A32" s="4">
        <v>31</v>
      </c>
      <c r="B32" s="5" t="s">
        <v>25</v>
      </c>
      <c r="C32" s="37">
        <v>3.8999999999999998E-3</v>
      </c>
      <c r="D32" s="45"/>
      <c r="E32" s="43"/>
      <c r="F32" s="43"/>
      <c r="G32" s="43"/>
      <c r="H32" s="43"/>
      <c r="I32" s="43"/>
      <c r="J32" s="43"/>
      <c r="K32" s="34">
        <v>0</v>
      </c>
      <c r="L32" s="4"/>
      <c r="M32" s="4"/>
      <c r="N32" s="4"/>
      <c r="O32" s="4"/>
      <c r="P32" s="24" t="s">
        <v>92</v>
      </c>
      <c r="Q32" s="4">
        <v>8</v>
      </c>
      <c r="R32" s="4">
        <f t="shared" si="0"/>
        <v>3.1199999999999999E-2</v>
      </c>
    </row>
    <row r="33" spans="1:18" ht="17.100000000000001" customHeight="1" x14ac:dyDescent="0.3">
      <c r="A33" s="4">
        <v>32</v>
      </c>
      <c r="B33" s="5" t="s">
        <v>28</v>
      </c>
      <c r="C33" s="37">
        <v>3.0000000000000001E-3</v>
      </c>
      <c r="D33" s="45"/>
      <c r="E33" s="43"/>
      <c r="F33" s="43"/>
      <c r="G33" s="43"/>
      <c r="H33" s="43"/>
      <c r="I33" s="43"/>
      <c r="J33" s="43">
        <v>0</v>
      </c>
      <c r="K33" s="34">
        <v>1</v>
      </c>
      <c r="L33" s="4"/>
      <c r="M33" s="4"/>
      <c r="N33" s="4"/>
      <c r="O33" s="4"/>
      <c r="P33" s="24" t="s">
        <v>93</v>
      </c>
      <c r="Q33" s="4">
        <v>8</v>
      </c>
      <c r="R33" s="4">
        <f t="shared" si="0"/>
        <v>2.4E-2</v>
      </c>
    </row>
    <row r="34" spans="1:18" ht="17.100000000000001" customHeight="1" x14ac:dyDescent="0.3">
      <c r="A34" s="4">
        <v>33</v>
      </c>
      <c r="B34" s="5" t="s">
        <v>32</v>
      </c>
      <c r="C34" s="37">
        <v>2.2000000000000001E-3</v>
      </c>
      <c r="D34" s="45"/>
      <c r="E34" s="43"/>
      <c r="F34" s="43"/>
      <c r="G34" s="43"/>
      <c r="H34" s="43"/>
      <c r="I34" s="43"/>
      <c r="J34" s="43"/>
      <c r="K34" s="34">
        <v>0</v>
      </c>
      <c r="L34" s="4"/>
      <c r="M34" s="4"/>
      <c r="N34" s="4"/>
      <c r="O34" s="4"/>
      <c r="P34" s="24" t="s">
        <v>94</v>
      </c>
      <c r="Q34" s="4">
        <v>8</v>
      </c>
      <c r="R34" s="4">
        <f t="shared" si="0"/>
        <v>1.7600000000000001E-2</v>
      </c>
    </row>
    <row r="35" spans="1:18" ht="17.100000000000001" customHeight="1" x14ac:dyDescent="0.3">
      <c r="A35" s="4">
        <v>34</v>
      </c>
      <c r="B35" s="5" t="s">
        <v>23</v>
      </c>
      <c r="C35" s="37">
        <v>1.4E-3</v>
      </c>
      <c r="D35" s="45"/>
      <c r="E35" s="43"/>
      <c r="F35" s="43"/>
      <c r="G35" s="43"/>
      <c r="H35" s="43"/>
      <c r="I35" s="43">
        <v>0</v>
      </c>
      <c r="J35" s="43">
        <v>1</v>
      </c>
      <c r="K35" s="43">
        <v>1</v>
      </c>
      <c r="L35" s="34">
        <v>1</v>
      </c>
      <c r="M35" s="6"/>
      <c r="N35" s="4"/>
      <c r="O35" s="4"/>
      <c r="P35" s="24" t="s">
        <v>95</v>
      </c>
      <c r="Q35" s="4">
        <v>9</v>
      </c>
      <c r="R35" s="4">
        <f t="shared" si="0"/>
        <v>1.26E-2</v>
      </c>
    </row>
    <row r="36" spans="1:18" ht="17.100000000000001" customHeight="1" x14ac:dyDescent="0.3">
      <c r="A36" s="4">
        <v>35</v>
      </c>
      <c r="B36" s="5" t="s">
        <v>37</v>
      </c>
      <c r="C36" s="37">
        <v>8.0000000000000004E-4</v>
      </c>
      <c r="D36" s="45"/>
      <c r="E36" s="43"/>
      <c r="F36" s="43"/>
      <c r="G36" s="43"/>
      <c r="H36" s="43"/>
      <c r="I36" s="43"/>
      <c r="J36" s="43"/>
      <c r="K36" s="43"/>
      <c r="L36" s="34">
        <v>0</v>
      </c>
      <c r="M36" s="4"/>
      <c r="N36" s="4"/>
      <c r="O36" s="4"/>
      <c r="P36" s="24" t="s">
        <v>96</v>
      </c>
      <c r="Q36" s="4">
        <v>9</v>
      </c>
      <c r="R36" s="4">
        <f t="shared" si="0"/>
        <v>7.2000000000000007E-3</v>
      </c>
    </row>
    <row r="37" spans="1:18" ht="17.100000000000001" customHeight="1" x14ac:dyDescent="0.3">
      <c r="A37" s="4">
        <v>36</v>
      </c>
      <c r="B37" s="5" t="s">
        <v>39</v>
      </c>
      <c r="C37" s="37">
        <v>8.0000000000000004E-4</v>
      </c>
      <c r="D37" s="45"/>
      <c r="E37" s="43"/>
      <c r="F37" s="43"/>
      <c r="G37" s="43"/>
      <c r="H37" s="43"/>
      <c r="I37" s="43"/>
      <c r="J37" s="43"/>
      <c r="K37" s="43">
        <v>0</v>
      </c>
      <c r="L37" s="34">
        <v>1</v>
      </c>
      <c r="M37" s="4"/>
      <c r="N37" s="4"/>
      <c r="O37" s="4"/>
      <c r="P37" s="24" t="s">
        <v>97</v>
      </c>
      <c r="Q37" s="4">
        <v>9</v>
      </c>
      <c r="R37" s="4">
        <f t="shared" si="0"/>
        <v>7.2000000000000007E-3</v>
      </c>
    </row>
    <row r="38" spans="1:18" ht="17.100000000000001" customHeight="1" x14ac:dyDescent="0.3">
      <c r="A38" s="4">
        <v>37</v>
      </c>
      <c r="B38" s="5">
        <v>1</v>
      </c>
      <c r="C38" s="37">
        <v>6.9999999999999999E-4</v>
      </c>
      <c r="D38" s="45"/>
      <c r="E38" s="43"/>
      <c r="F38" s="43"/>
      <c r="G38" s="43"/>
      <c r="H38" s="43"/>
      <c r="I38" s="43"/>
      <c r="J38" s="43"/>
      <c r="K38" s="43"/>
      <c r="L38" s="34">
        <v>0</v>
      </c>
      <c r="M38" s="4"/>
      <c r="N38" s="4"/>
      <c r="O38" s="4"/>
      <c r="P38" s="24" t="s">
        <v>98</v>
      </c>
      <c r="Q38" s="4">
        <v>9</v>
      </c>
      <c r="R38" s="4">
        <f t="shared" si="0"/>
        <v>6.3E-3</v>
      </c>
    </row>
    <row r="39" spans="1:18" ht="17.100000000000001" customHeight="1" x14ac:dyDescent="0.3">
      <c r="A39" s="4">
        <v>38</v>
      </c>
      <c r="B39" s="5">
        <v>9</v>
      </c>
      <c r="C39" s="37">
        <v>5.0000000000000001E-4</v>
      </c>
      <c r="D39" s="45"/>
      <c r="E39" s="43"/>
      <c r="F39" s="43"/>
      <c r="G39" s="43"/>
      <c r="H39" s="43"/>
      <c r="I39" s="43"/>
      <c r="J39" s="43">
        <v>0</v>
      </c>
      <c r="K39" s="43">
        <v>1</v>
      </c>
      <c r="L39" s="43">
        <v>1</v>
      </c>
      <c r="M39" s="34">
        <v>1</v>
      </c>
      <c r="N39" s="6"/>
      <c r="O39" s="4"/>
      <c r="P39" s="24" t="s">
        <v>99</v>
      </c>
      <c r="Q39" s="4">
        <v>10</v>
      </c>
      <c r="R39" s="4">
        <f t="shared" si="0"/>
        <v>5.0000000000000001E-3</v>
      </c>
    </row>
    <row r="40" spans="1:18" ht="17.100000000000001" customHeight="1" x14ac:dyDescent="0.3">
      <c r="A40" s="4">
        <v>39</v>
      </c>
      <c r="B40" s="5" t="s">
        <v>38</v>
      </c>
      <c r="C40" s="37">
        <v>5.0000000000000001E-4</v>
      </c>
      <c r="D40" s="45"/>
      <c r="E40" s="43"/>
      <c r="F40" s="43"/>
      <c r="G40" s="43"/>
      <c r="H40" s="43"/>
      <c r="I40" s="43"/>
      <c r="J40" s="43"/>
      <c r="K40" s="43"/>
      <c r="L40" s="43"/>
      <c r="M40" s="34">
        <v>0</v>
      </c>
      <c r="N40" s="4"/>
      <c r="O40" s="4"/>
      <c r="P40" s="24" t="s">
        <v>100</v>
      </c>
      <c r="Q40" s="4">
        <v>10</v>
      </c>
      <c r="R40" s="4">
        <f t="shared" si="0"/>
        <v>5.0000000000000001E-3</v>
      </c>
    </row>
    <row r="41" spans="1:18" ht="17.100000000000001" customHeight="1" x14ac:dyDescent="0.3">
      <c r="A41" s="4">
        <v>40</v>
      </c>
      <c r="B41" s="5" t="s">
        <v>8</v>
      </c>
      <c r="C41" s="37">
        <v>2.9999999999999997E-4</v>
      </c>
      <c r="D41" s="45"/>
      <c r="E41" s="43"/>
      <c r="F41" s="43"/>
      <c r="G41" s="43"/>
      <c r="H41" s="43"/>
      <c r="I41" s="43"/>
      <c r="J41" s="43"/>
      <c r="K41" s="43"/>
      <c r="L41" s="43">
        <v>0</v>
      </c>
      <c r="M41" s="34">
        <v>1</v>
      </c>
      <c r="N41" s="4"/>
      <c r="O41" s="4"/>
      <c r="P41" s="24" t="s">
        <v>101</v>
      </c>
      <c r="Q41" s="4">
        <v>10</v>
      </c>
      <c r="R41" s="4">
        <f t="shared" si="0"/>
        <v>2.9999999999999996E-3</v>
      </c>
    </row>
    <row r="42" spans="1:18" ht="17.100000000000001" customHeight="1" x14ac:dyDescent="0.3">
      <c r="A42" s="4">
        <v>41</v>
      </c>
      <c r="B42" s="5">
        <v>2</v>
      </c>
      <c r="C42" s="37">
        <v>2.9999999999999997E-4</v>
      </c>
      <c r="D42" s="45"/>
      <c r="E42" s="43"/>
      <c r="F42" s="43"/>
      <c r="G42" s="43"/>
      <c r="H42" s="43"/>
      <c r="I42" s="43"/>
      <c r="J42" s="43"/>
      <c r="K42" s="43"/>
      <c r="L42" s="43"/>
      <c r="M42" s="34">
        <v>0</v>
      </c>
      <c r="N42" s="4"/>
      <c r="O42" s="4"/>
      <c r="P42" s="24" t="s">
        <v>102</v>
      </c>
      <c r="Q42" s="4">
        <v>10</v>
      </c>
      <c r="R42" s="4">
        <f t="shared" si="0"/>
        <v>2.9999999999999996E-3</v>
      </c>
    </row>
    <row r="43" spans="1:18" ht="17.100000000000001" customHeight="1" x14ac:dyDescent="0.3">
      <c r="A43" s="4">
        <v>42</v>
      </c>
      <c r="B43" s="5" t="s">
        <v>29</v>
      </c>
      <c r="C43" s="37">
        <v>2.0000000000000001E-4</v>
      </c>
      <c r="D43" s="45"/>
      <c r="E43" s="43"/>
      <c r="F43" s="43"/>
      <c r="G43" s="43"/>
      <c r="H43" s="43"/>
      <c r="I43" s="43"/>
      <c r="J43" s="43"/>
      <c r="K43" s="43">
        <v>0</v>
      </c>
      <c r="L43" s="43">
        <v>1</v>
      </c>
      <c r="M43" s="43">
        <v>1</v>
      </c>
      <c r="N43" s="34">
        <v>1</v>
      </c>
      <c r="O43" s="6"/>
      <c r="P43" s="24" t="s">
        <v>103</v>
      </c>
      <c r="Q43" s="4">
        <v>11</v>
      </c>
      <c r="R43" s="4">
        <f t="shared" si="0"/>
        <v>2.2000000000000001E-3</v>
      </c>
    </row>
    <row r="44" spans="1:18" ht="17.100000000000001" customHeight="1" x14ac:dyDescent="0.3">
      <c r="A44" s="4">
        <v>43</v>
      </c>
      <c r="B44" s="5" t="s">
        <v>41</v>
      </c>
      <c r="C44" s="37">
        <v>2.0000000000000001E-4</v>
      </c>
      <c r="D44" s="45"/>
      <c r="E44" s="43"/>
      <c r="F44" s="43"/>
      <c r="G44" s="43"/>
      <c r="H44" s="43"/>
      <c r="I44" s="43"/>
      <c r="J44" s="43"/>
      <c r="K44" s="43"/>
      <c r="L44" s="43"/>
      <c r="M44" s="43"/>
      <c r="N44" s="34">
        <v>0</v>
      </c>
      <c r="O44" s="4"/>
      <c r="P44" s="24" t="s">
        <v>104</v>
      </c>
      <c r="Q44" s="4">
        <v>11</v>
      </c>
      <c r="R44" s="4">
        <f t="shared" si="0"/>
        <v>2.2000000000000001E-3</v>
      </c>
    </row>
    <row r="45" spans="1:18" ht="17.100000000000001" customHeight="1" x14ac:dyDescent="0.3">
      <c r="A45" s="4">
        <v>44</v>
      </c>
      <c r="B45" s="5">
        <v>0</v>
      </c>
      <c r="C45" s="37">
        <v>1E-4</v>
      </c>
      <c r="D45" s="45"/>
      <c r="E45" s="43"/>
      <c r="F45" s="43"/>
      <c r="G45" s="43"/>
      <c r="H45" s="43"/>
      <c r="I45" s="43"/>
      <c r="J45" s="43"/>
      <c r="K45" s="43"/>
      <c r="L45" s="43"/>
      <c r="M45" s="43">
        <v>0</v>
      </c>
      <c r="N45" s="34">
        <v>1</v>
      </c>
      <c r="O45" s="4"/>
      <c r="P45" s="24" t="s">
        <v>105</v>
      </c>
      <c r="Q45" s="4">
        <v>11</v>
      </c>
      <c r="R45" s="4">
        <f t="shared" si="0"/>
        <v>1.1000000000000001E-3</v>
      </c>
    </row>
    <row r="46" spans="1:18" ht="17.100000000000001" customHeight="1" x14ac:dyDescent="0.3">
      <c r="A46" s="4">
        <v>45</v>
      </c>
      <c r="B46" s="5">
        <v>3</v>
      </c>
      <c r="C46" s="37">
        <v>1E-4</v>
      </c>
      <c r="D46" s="45"/>
      <c r="E46" s="43"/>
      <c r="F46" s="43"/>
      <c r="G46" s="43"/>
      <c r="H46" s="43"/>
      <c r="I46" s="43"/>
      <c r="J46" s="43"/>
      <c r="K46" s="43"/>
      <c r="L46" s="43"/>
      <c r="M46" s="43"/>
      <c r="N46" s="34">
        <v>0</v>
      </c>
      <c r="O46" s="4"/>
      <c r="P46" s="24" t="s">
        <v>106</v>
      </c>
      <c r="Q46" s="4">
        <v>11</v>
      </c>
      <c r="R46" s="4">
        <f t="shared" si="0"/>
        <v>1.1000000000000001E-3</v>
      </c>
    </row>
    <row r="47" spans="1:18" ht="17.100000000000001" customHeight="1" x14ac:dyDescent="0.3">
      <c r="A47" s="4">
        <v>46</v>
      </c>
      <c r="B47" s="5">
        <v>4</v>
      </c>
      <c r="C47" s="37">
        <v>1E-4</v>
      </c>
      <c r="D47" s="45"/>
      <c r="E47" s="43"/>
      <c r="F47" s="43"/>
      <c r="G47" s="43"/>
      <c r="H47" s="43"/>
      <c r="I47" s="43"/>
      <c r="J47" s="43"/>
      <c r="K47" s="43"/>
      <c r="L47" s="43">
        <v>0</v>
      </c>
      <c r="M47" s="43">
        <v>1</v>
      </c>
      <c r="N47" s="34">
        <v>1</v>
      </c>
      <c r="O47" s="4"/>
      <c r="P47" s="24" t="s">
        <v>109</v>
      </c>
      <c r="Q47" s="4">
        <v>11</v>
      </c>
      <c r="R47" s="4">
        <f t="shared" si="0"/>
        <v>1.1000000000000001E-3</v>
      </c>
    </row>
    <row r="48" spans="1:18" ht="17.100000000000001" customHeight="1" x14ac:dyDescent="0.3">
      <c r="A48" s="4">
        <v>47</v>
      </c>
      <c r="B48" s="5">
        <v>5</v>
      </c>
      <c r="C48" s="37">
        <v>1E-4</v>
      </c>
      <c r="D48" s="45"/>
      <c r="E48" s="43"/>
      <c r="F48" s="43"/>
      <c r="G48" s="43"/>
      <c r="H48" s="43"/>
      <c r="I48" s="43"/>
      <c r="J48" s="43"/>
      <c r="K48" s="43"/>
      <c r="L48" s="43"/>
      <c r="M48" s="43"/>
      <c r="N48" s="34">
        <v>0</v>
      </c>
      <c r="O48" s="4"/>
      <c r="P48" s="24" t="s">
        <v>110</v>
      </c>
      <c r="Q48" s="4">
        <v>11</v>
      </c>
      <c r="R48" s="4">
        <f t="shared" si="0"/>
        <v>1.1000000000000001E-3</v>
      </c>
    </row>
    <row r="49" spans="1:18" ht="17.100000000000001" customHeight="1" x14ac:dyDescent="0.3">
      <c r="A49" s="4">
        <v>48</v>
      </c>
      <c r="B49" s="5">
        <v>6</v>
      </c>
      <c r="C49" s="37">
        <v>1E-4</v>
      </c>
      <c r="D49" s="45"/>
      <c r="E49" s="43"/>
      <c r="F49" s="43"/>
      <c r="G49" s="43"/>
      <c r="H49" s="43"/>
      <c r="I49" s="43"/>
      <c r="J49" s="43"/>
      <c r="K49" s="43"/>
      <c r="L49" s="43"/>
      <c r="M49" s="43">
        <v>0</v>
      </c>
      <c r="N49" s="34">
        <v>1</v>
      </c>
      <c r="O49" s="4"/>
      <c r="P49" s="24" t="s">
        <v>107</v>
      </c>
      <c r="Q49" s="4">
        <v>11</v>
      </c>
      <c r="R49" s="4">
        <f t="shared" si="0"/>
        <v>1.1000000000000001E-3</v>
      </c>
    </row>
    <row r="50" spans="1:18" ht="17.100000000000001" customHeight="1" x14ac:dyDescent="0.3">
      <c r="A50" s="4">
        <v>49</v>
      </c>
      <c r="B50" s="5">
        <v>7</v>
      </c>
      <c r="C50" s="37">
        <v>1E-4</v>
      </c>
      <c r="D50" s="45"/>
      <c r="E50" s="43"/>
      <c r="F50" s="43"/>
      <c r="G50" s="43"/>
      <c r="H50" s="43"/>
      <c r="I50" s="43"/>
      <c r="J50" s="43"/>
      <c r="K50" s="43"/>
      <c r="L50" s="43"/>
      <c r="M50" s="43"/>
      <c r="N50" s="43">
        <v>0</v>
      </c>
      <c r="O50" s="34">
        <v>1</v>
      </c>
      <c r="P50" s="24" t="s">
        <v>108</v>
      </c>
      <c r="Q50" s="4">
        <v>12</v>
      </c>
      <c r="R50" s="4">
        <f t="shared" si="0"/>
        <v>1.2000000000000001E-3</v>
      </c>
    </row>
    <row r="51" spans="1:18" ht="17.100000000000001" customHeight="1" x14ac:dyDescent="0.3">
      <c r="A51" s="4">
        <v>50</v>
      </c>
      <c r="B51" s="5">
        <v>8</v>
      </c>
      <c r="C51" s="37">
        <v>1E-4</v>
      </c>
      <c r="D51" s="45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34">
        <v>0</v>
      </c>
      <c r="P51" s="24" t="s">
        <v>111</v>
      </c>
      <c r="Q51" s="4">
        <v>12</v>
      </c>
      <c r="R51" s="4">
        <f t="shared" si="0"/>
        <v>1.2000000000000001E-3</v>
      </c>
    </row>
    <row r="52" spans="1:18" ht="15" customHeight="1" x14ac:dyDescent="0.3">
      <c r="B52" s="44"/>
      <c r="C52" s="44"/>
      <c r="D52" s="18"/>
      <c r="R52">
        <f>SUM(R2:R51)</f>
        <v>4.5475000000000012</v>
      </c>
    </row>
    <row r="53" spans="1:18" ht="15" customHeight="1" x14ac:dyDescent="0.3">
      <c r="B53" s="42"/>
      <c r="C53" s="42"/>
      <c r="D53" s="17"/>
    </row>
    <row r="54" spans="1:18" ht="15" customHeight="1" x14ac:dyDescent="0.3">
      <c r="D54" s="17"/>
    </row>
    <row r="55" spans="1:18" ht="15" customHeight="1" x14ac:dyDescent="0.3">
      <c r="A55" s="15" t="s">
        <v>54</v>
      </c>
      <c r="B55" s="16"/>
      <c r="C55" s="40">
        <v>4.5004949999999999</v>
      </c>
      <c r="D55" s="17"/>
    </row>
    <row r="56" spans="1:18" ht="15" customHeight="1" x14ac:dyDescent="0.3">
      <c r="A56" t="s">
        <v>115</v>
      </c>
      <c r="C56" s="39">
        <f>R52</f>
        <v>4.5475000000000012</v>
      </c>
    </row>
  </sheetData>
  <mergeCells count="50">
    <mergeCell ref="B52:C52"/>
    <mergeCell ref="B53:C53"/>
    <mergeCell ref="D2:D7"/>
    <mergeCell ref="D8:D51"/>
    <mergeCell ref="E2:E3"/>
    <mergeCell ref="E4:E7"/>
    <mergeCell ref="F4:F5"/>
    <mergeCell ref="F6:F7"/>
    <mergeCell ref="E8:E14"/>
    <mergeCell ref="G23:G26"/>
    <mergeCell ref="H23:H24"/>
    <mergeCell ref="H25:H26"/>
    <mergeCell ref="E15:E51"/>
    <mergeCell ref="F8:F10"/>
    <mergeCell ref="F11:F14"/>
    <mergeCell ref="G9:G10"/>
    <mergeCell ref="G11:G12"/>
    <mergeCell ref="G13:G14"/>
    <mergeCell ref="F15:F22"/>
    <mergeCell ref="F23:F51"/>
    <mergeCell ref="G15:G18"/>
    <mergeCell ref="G19:G22"/>
    <mergeCell ref="H15:H16"/>
    <mergeCell ref="H17:H18"/>
    <mergeCell ref="H19:H20"/>
    <mergeCell ref="H21:H22"/>
    <mergeCell ref="G27:G51"/>
    <mergeCell ref="H27:H30"/>
    <mergeCell ref="I27:I28"/>
    <mergeCell ref="I29:I30"/>
    <mergeCell ref="H31:H51"/>
    <mergeCell ref="I31:I34"/>
    <mergeCell ref="J31:J32"/>
    <mergeCell ref="J33:J34"/>
    <mergeCell ref="I35:I51"/>
    <mergeCell ref="J35:J38"/>
    <mergeCell ref="K35:K36"/>
    <mergeCell ref="K37:K38"/>
    <mergeCell ref="J39:J51"/>
    <mergeCell ref="K39:K42"/>
    <mergeCell ref="N50:N51"/>
    <mergeCell ref="L39:L40"/>
    <mergeCell ref="L41:L42"/>
    <mergeCell ref="K43:K51"/>
    <mergeCell ref="L43:L46"/>
    <mergeCell ref="M43:M44"/>
    <mergeCell ref="M45:M46"/>
    <mergeCell ref="L47:L51"/>
    <mergeCell ref="M47:M48"/>
    <mergeCell ref="M49:M51"/>
  </mergeCells>
  <pageMargins left="0.7" right="0.7" top="0.75" bottom="0.75" header="0.3" footer="0.3"/>
  <pageSetup paperSize="9"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56"/>
  <sheetViews>
    <sheetView topLeftCell="U1" zoomScale="90" zoomScaleNormal="90" workbookViewId="0">
      <pane ySplit="1" topLeftCell="A2" activePane="bottomLeft" state="frozen"/>
      <selection pane="bottomLeft" activeCell="AY8" sqref="AY8"/>
    </sheetView>
  </sheetViews>
  <sheetFormatPr defaultRowHeight="15" customHeight="1" x14ac:dyDescent="0.25"/>
  <cols>
    <col min="1" max="1" width="12.7109375" bestFit="1" customWidth="1"/>
    <col min="2" max="2" width="10.42578125" style="13" bestFit="1" customWidth="1"/>
    <col min="3" max="3" width="16.42578125" customWidth="1"/>
  </cols>
  <sheetData>
    <row r="1" spans="1:52" s="28" customFormat="1" ht="36.75" customHeight="1" x14ac:dyDescent="0.25">
      <c r="A1" s="19" t="s">
        <v>0</v>
      </c>
      <c r="B1" s="19" t="s">
        <v>1</v>
      </c>
      <c r="C1" s="25" t="s">
        <v>112</v>
      </c>
    </row>
    <row r="2" spans="1:52" ht="17.100000000000001" customHeight="1" x14ac:dyDescent="0.25">
      <c r="A2" s="4">
        <v>1</v>
      </c>
      <c r="B2" s="5" t="s">
        <v>40</v>
      </c>
      <c r="C2" s="22">
        <v>0.1573</v>
      </c>
      <c r="D2" s="22">
        <v>0.1573</v>
      </c>
      <c r="E2" s="22">
        <v>0.1573</v>
      </c>
      <c r="F2" s="22">
        <v>0.1573</v>
      </c>
      <c r="G2" s="22">
        <v>0.1573</v>
      </c>
      <c r="H2" s="22">
        <v>0.1573</v>
      </c>
      <c r="I2" s="22">
        <v>0.1573</v>
      </c>
      <c r="J2" s="22">
        <v>0.1573</v>
      </c>
      <c r="K2" s="22">
        <v>0.1573</v>
      </c>
      <c r="L2" s="22">
        <v>0.1573</v>
      </c>
      <c r="M2" s="22">
        <v>0.1573</v>
      </c>
      <c r="N2" s="22">
        <v>0.1573</v>
      </c>
      <c r="O2" s="22">
        <v>0.1573</v>
      </c>
      <c r="P2" s="22">
        <v>0.1573</v>
      </c>
      <c r="Q2" s="22">
        <v>0.1573</v>
      </c>
      <c r="R2" s="22">
        <v>0.1573</v>
      </c>
      <c r="S2" s="22">
        <v>0.1573</v>
      </c>
      <c r="T2" s="22">
        <v>0.1573</v>
      </c>
      <c r="U2" s="22">
        <v>0.1573</v>
      </c>
      <c r="V2" s="22">
        <v>0.1573</v>
      </c>
      <c r="W2" s="22">
        <v>0.1573</v>
      </c>
      <c r="X2" s="22">
        <v>0.1573</v>
      </c>
      <c r="Y2" s="22">
        <v>0.1573</v>
      </c>
      <c r="Z2" s="22">
        <v>0.1573</v>
      </c>
      <c r="AA2" s="22">
        <v>0.1573</v>
      </c>
      <c r="AB2" s="22">
        <v>0.1573</v>
      </c>
      <c r="AC2" s="22">
        <v>0.1573</v>
      </c>
      <c r="AD2" s="22">
        <v>0.1573</v>
      </c>
      <c r="AE2" s="22">
        <v>0.1573</v>
      </c>
      <c r="AF2" s="22">
        <v>0.1573</v>
      </c>
      <c r="AG2" s="22">
        <v>0.1573</v>
      </c>
      <c r="AH2" s="22">
        <v>0.1573</v>
      </c>
      <c r="AI2" s="22">
        <v>0.1573</v>
      </c>
      <c r="AJ2" s="22">
        <v>0.1573</v>
      </c>
      <c r="AK2" s="22">
        <v>0.1573</v>
      </c>
      <c r="AL2" s="22">
        <v>0.1573</v>
      </c>
      <c r="AM2" s="22">
        <v>0.1573</v>
      </c>
      <c r="AN2" s="22">
        <v>0.1573</v>
      </c>
      <c r="AO2" s="22">
        <v>0.1573</v>
      </c>
      <c r="AP2" s="22">
        <v>0.1573</v>
      </c>
      <c r="AQ2" s="22">
        <v>0.1573</v>
      </c>
      <c r="AR2" s="22">
        <v>0.1573</v>
      </c>
      <c r="AS2" s="22">
        <v>0.1573</v>
      </c>
      <c r="AT2" s="22">
        <v>0.1573</v>
      </c>
      <c r="AU2" s="22">
        <v>0.1573</v>
      </c>
      <c r="AV2" s="22">
        <v>0.1573</v>
      </c>
      <c r="AW2" s="22">
        <v>0.1573</v>
      </c>
      <c r="AX2" s="22">
        <v>0.1573</v>
      </c>
      <c r="AY2" s="22">
        <v>0.1573</v>
      </c>
      <c r="AZ2" s="6">
        <f>AY2+AY3</f>
        <v>1</v>
      </c>
    </row>
    <row r="3" spans="1:52" ht="17.100000000000001" customHeight="1" x14ac:dyDescent="0.25">
      <c r="A3" s="4">
        <v>2</v>
      </c>
      <c r="B3" s="5" t="s">
        <v>17</v>
      </c>
      <c r="C3" s="22">
        <v>9.2200000000000004E-2</v>
      </c>
      <c r="D3" s="22">
        <v>9.2200000000000004E-2</v>
      </c>
      <c r="E3" s="22">
        <v>9.2200000000000004E-2</v>
      </c>
      <c r="F3" s="22">
        <v>9.2200000000000004E-2</v>
      </c>
      <c r="G3" s="22">
        <v>9.2200000000000004E-2</v>
      </c>
      <c r="H3" s="22">
        <v>9.2200000000000004E-2</v>
      </c>
      <c r="I3" s="22">
        <v>9.2200000000000004E-2</v>
      </c>
      <c r="J3" s="22">
        <v>9.2200000000000004E-2</v>
      </c>
      <c r="K3" s="22">
        <v>9.2200000000000004E-2</v>
      </c>
      <c r="L3" s="22">
        <v>9.2200000000000004E-2</v>
      </c>
      <c r="M3" s="22">
        <v>9.2200000000000004E-2</v>
      </c>
      <c r="N3" s="22">
        <v>9.2200000000000004E-2</v>
      </c>
      <c r="O3" s="22">
        <v>9.2200000000000004E-2</v>
      </c>
      <c r="P3" s="22">
        <v>9.2200000000000004E-2</v>
      </c>
      <c r="Q3" s="22">
        <v>9.2200000000000004E-2</v>
      </c>
      <c r="R3" s="22">
        <v>9.2200000000000004E-2</v>
      </c>
      <c r="S3" s="22">
        <v>9.2200000000000004E-2</v>
      </c>
      <c r="T3" s="22">
        <v>9.2200000000000004E-2</v>
      </c>
      <c r="U3" s="22">
        <v>9.2200000000000004E-2</v>
      </c>
      <c r="V3" s="22">
        <v>9.2200000000000004E-2</v>
      </c>
      <c r="W3" s="22">
        <v>9.2200000000000004E-2</v>
      </c>
      <c r="X3" s="22">
        <v>9.2200000000000004E-2</v>
      </c>
      <c r="Y3" s="22">
        <v>9.2200000000000004E-2</v>
      </c>
      <c r="Z3" s="22">
        <v>9.2200000000000004E-2</v>
      </c>
      <c r="AA3" s="22">
        <v>9.2200000000000004E-2</v>
      </c>
      <c r="AB3" s="22">
        <v>9.2200000000000004E-2</v>
      </c>
      <c r="AC3" s="22">
        <v>9.2200000000000004E-2</v>
      </c>
      <c r="AD3" s="22">
        <v>9.2200000000000004E-2</v>
      </c>
      <c r="AE3" s="22">
        <v>9.2200000000000004E-2</v>
      </c>
      <c r="AF3" s="22">
        <v>9.2200000000000004E-2</v>
      </c>
      <c r="AG3" s="22">
        <v>9.2200000000000004E-2</v>
      </c>
      <c r="AH3" s="22">
        <v>9.2200000000000004E-2</v>
      </c>
      <c r="AI3" s="22">
        <v>9.2200000000000004E-2</v>
      </c>
      <c r="AJ3" s="22">
        <v>9.2200000000000004E-2</v>
      </c>
      <c r="AK3" s="22">
        <v>9.2200000000000004E-2</v>
      </c>
      <c r="AL3" s="22">
        <v>9.2200000000000004E-2</v>
      </c>
      <c r="AM3" s="22">
        <v>9.2200000000000004E-2</v>
      </c>
      <c r="AN3" s="22">
        <v>9.2200000000000004E-2</v>
      </c>
      <c r="AO3" s="22">
        <v>9.2200000000000004E-2</v>
      </c>
      <c r="AP3" s="22">
        <v>9.2200000000000004E-2</v>
      </c>
      <c r="AQ3" s="22">
        <v>9.2200000000000004E-2</v>
      </c>
      <c r="AR3" s="22">
        <v>9.2200000000000004E-2</v>
      </c>
      <c r="AS3" s="22">
        <v>9.2200000000000004E-2</v>
      </c>
      <c r="AT3" s="22">
        <v>9.2200000000000004E-2</v>
      </c>
      <c r="AU3" s="22">
        <v>9.2200000000000004E-2</v>
      </c>
      <c r="AV3" s="22">
        <v>9.2200000000000004E-2</v>
      </c>
      <c r="AW3" s="22">
        <v>9.2200000000000004E-2</v>
      </c>
      <c r="AX3" s="22">
        <v>9.2200000000000004E-2</v>
      </c>
      <c r="AY3" s="6">
        <f>AX3+AX4</f>
        <v>0.8427</v>
      </c>
    </row>
    <row r="4" spans="1:52" ht="17.100000000000001" customHeight="1" x14ac:dyDescent="0.25">
      <c r="A4" s="4">
        <v>3</v>
      </c>
      <c r="B4" s="5" t="s">
        <v>2</v>
      </c>
      <c r="C4" s="22">
        <v>6.7799999999999999E-2</v>
      </c>
      <c r="D4" s="22">
        <v>6.7799999999999999E-2</v>
      </c>
      <c r="E4" s="22">
        <v>6.7799999999999999E-2</v>
      </c>
      <c r="F4" s="22">
        <v>6.7799999999999999E-2</v>
      </c>
      <c r="G4" s="22">
        <v>6.7799999999999999E-2</v>
      </c>
      <c r="H4" s="22">
        <v>6.7799999999999999E-2</v>
      </c>
      <c r="I4" s="22">
        <v>6.7799999999999999E-2</v>
      </c>
      <c r="J4" s="22">
        <v>6.7799999999999999E-2</v>
      </c>
      <c r="K4" s="22">
        <v>6.7799999999999999E-2</v>
      </c>
      <c r="L4" s="22">
        <v>6.7799999999999999E-2</v>
      </c>
      <c r="M4" s="22">
        <v>6.7799999999999999E-2</v>
      </c>
      <c r="N4" s="22">
        <v>6.7799999999999999E-2</v>
      </c>
      <c r="O4" s="22">
        <v>6.7799999999999999E-2</v>
      </c>
      <c r="P4" s="22">
        <v>6.7799999999999999E-2</v>
      </c>
      <c r="Q4" s="22">
        <v>6.7799999999999999E-2</v>
      </c>
      <c r="R4" s="22">
        <v>6.7799999999999999E-2</v>
      </c>
      <c r="S4" s="22">
        <v>6.7799999999999999E-2</v>
      </c>
      <c r="T4" s="22">
        <v>6.7799999999999999E-2</v>
      </c>
      <c r="U4" s="22">
        <v>6.7799999999999999E-2</v>
      </c>
      <c r="V4" s="22">
        <v>6.7799999999999999E-2</v>
      </c>
      <c r="W4" s="22">
        <v>6.7799999999999999E-2</v>
      </c>
      <c r="X4" s="22">
        <v>6.7799999999999999E-2</v>
      </c>
      <c r="Y4" s="22">
        <v>6.7799999999999999E-2</v>
      </c>
      <c r="Z4" s="22">
        <v>6.7799999999999999E-2</v>
      </c>
      <c r="AA4" s="22">
        <v>6.7799999999999999E-2</v>
      </c>
      <c r="AB4" s="22">
        <v>6.7799999999999999E-2</v>
      </c>
      <c r="AC4" s="22">
        <v>6.7799999999999999E-2</v>
      </c>
      <c r="AD4" s="22">
        <v>6.7799999999999999E-2</v>
      </c>
      <c r="AE4" s="22">
        <v>6.7799999999999999E-2</v>
      </c>
      <c r="AF4" s="22">
        <v>6.7799999999999999E-2</v>
      </c>
      <c r="AG4" s="22">
        <v>6.7799999999999999E-2</v>
      </c>
      <c r="AH4" s="22">
        <v>6.7799999999999999E-2</v>
      </c>
      <c r="AI4" s="22">
        <v>6.7799999999999999E-2</v>
      </c>
      <c r="AJ4" s="22">
        <v>6.7799999999999999E-2</v>
      </c>
      <c r="AK4" s="22">
        <v>6.7799999999999999E-2</v>
      </c>
      <c r="AL4" s="22">
        <v>6.7799999999999999E-2</v>
      </c>
      <c r="AM4" s="22">
        <v>6.7799999999999999E-2</v>
      </c>
      <c r="AN4" s="22">
        <v>6.7799999999999999E-2</v>
      </c>
      <c r="AO4" s="22">
        <v>6.7799999999999999E-2</v>
      </c>
      <c r="AP4" s="22">
        <v>6.7799999999999999E-2</v>
      </c>
      <c r="AQ4" s="22">
        <v>6.7799999999999999E-2</v>
      </c>
      <c r="AR4" s="22">
        <v>6.7799999999999999E-2</v>
      </c>
      <c r="AS4" s="22">
        <v>6.7799999999999999E-2</v>
      </c>
      <c r="AT4" s="22">
        <v>6.7799999999999999E-2</v>
      </c>
      <c r="AU4" s="22">
        <v>6.7799999999999999E-2</v>
      </c>
      <c r="AV4" s="22">
        <v>6.7799999999999999E-2</v>
      </c>
      <c r="AW4" s="22">
        <v>6.7799999999999999E-2</v>
      </c>
      <c r="AX4" s="6">
        <f>AW4+AW5</f>
        <v>0.75050000000000006</v>
      </c>
    </row>
    <row r="5" spans="1:52" ht="17.100000000000001" customHeight="1" x14ac:dyDescent="0.25">
      <c r="A5" s="4">
        <v>4</v>
      </c>
      <c r="B5" s="5" t="s">
        <v>7</v>
      </c>
      <c r="C5" s="22">
        <v>6.4899999999999999E-2</v>
      </c>
      <c r="D5" s="22">
        <v>6.4899999999999999E-2</v>
      </c>
      <c r="E5" s="22">
        <v>6.4899999999999999E-2</v>
      </c>
      <c r="F5" s="22">
        <v>6.4899999999999999E-2</v>
      </c>
      <c r="G5" s="22">
        <v>6.4899999999999999E-2</v>
      </c>
      <c r="H5" s="22">
        <v>6.4899999999999999E-2</v>
      </c>
      <c r="I5" s="22">
        <v>6.4899999999999999E-2</v>
      </c>
      <c r="J5" s="22">
        <v>6.4899999999999999E-2</v>
      </c>
      <c r="K5" s="22">
        <v>6.4899999999999999E-2</v>
      </c>
      <c r="L5" s="22">
        <v>6.4899999999999999E-2</v>
      </c>
      <c r="M5" s="22">
        <v>6.4899999999999999E-2</v>
      </c>
      <c r="N5" s="22">
        <v>6.4899999999999999E-2</v>
      </c>
      <c r="O5" s="22">
        <v>6.4899999999999999E-2</v>
      </c>
      <c r="P5" s="22">
        <v>6.4899999999999999E-2</v>
      </c>
      <c r="Q5" s="22">
        <v>6.4899999999999999E-2</v>
      </c>
      <c r="R5" s="22">
        <v>6.4899999999999999E-2</v>
      </c>
      <c r="S5" s="22">
        <v>6.4899999999999999E-2</v>
      </c>
      <c r="T5" s="22">
        <v>6.4899999999999999E-2</v>
      </c>
      <c r="U5" s="22">
        <v>6.4899999999999999E-2</v>
      </c>
      <c r="V5" s="22">
        <v>6.4899999999999999E-2</v>
      </c>
      <c r="W5" s="22">
        <v>6.4899999999999999E-2</v>
      </c>
      <c r="X5" s="22">
        <v>6.4899999999999999E-2</v>
      </c>
      <c r="Y5" s="22">
        <v>6.4899999999999999E-2</v>
      </c>
      <c r="Z5" s="22">
        <v>6.4899999999999999E-2</v>
      </c>
      <c r="AA5" s="22">
        <v>6.4899999999999999E-2</v>
      </c>
      <c r="AB5" s="22">
        <v>6.4899999999999999E-2</v>
      </c>
      <c r="AC5" s="22">
        <v>6.4899999999999999E-2</v>
      </c>
      <c r="AD5" s="22">
        <v>6.4899999999999999E-2</v>
      </c>
      <c r="AE5" s="22">
        <v>6.4899999999999999E-2</v>
      </c>
      <c r="AF5" s="22">
        <v>6.4899999999999999E-2</v>
      </c>
      <c r="AG5" s="22">
        <v>6.4899999999999999E-2</v>
      </c>
      <c r="AH5" s="22">
        <v>6.4899999999999999E-2</v>
      </c>
      <c r="AI5" s="22">
        <v>6.4899999999999999E-2</v>
      </c>
      <c r="AJ5" s="22">
        <v>6.4899999999999999E-2</v>
      </c>
      <c r="AK5" s="22">
        <v>6.4899999999999999E-2</v>
      </c>
      <c r="AL5" s="22">
        <v>6.4899999999999999E-2</v>
      </c>
      <c r="AM5" s="22">
        <v>6.4899999999999999E-2</v>
      </c>
      <c r="AN5" s="22">
        <v>6.4899999999999999E-2</v>
      </c>
      <c r="AO5" s="22">
        <v>6.4899999999999999E-2</v>
      </c>
      <c r="AP5" s="22">
        <v>6.4899999999999999E-2</v>
      </c>
      <c r="AQ5" s="22">
        <v>6.4899999999999999E-2</v>
      </c>
      <c r="AR5" s="22">
        <v>6.4899999999999999E-2</v>
      </c>
      <c r="AS5" s="22">
        <v>6.4899999999999999E-2</v>
      </c>
      <c r="AT5" s="22">
        <v>6.4899999999999999E-2</v>
      </c>
      <c r="AU5" s="22">
        <v>6.4899999999999999E-2</v>
      </c>
      <c r="AV5" s="22">
        <v>6.4899999999999999E-2</v>
      </c>
      <c r="AW5" s="6">
        <f>AV5+AV6</f>
        <v>0.68270000000000008</v>
      </c>
    </row>
    <row r="6" spans="1:52" ht="17.100000000000001" customHeight="1" x14ac:dyDescent="0.25">
      <c r="A6" s="4">
        <v>5</v>
      </c>
      <c r="B6" s="5" t="s">
        <v>16</v>
      </c>
      <c r="C6" s="22">
        <v>5.3900000000000003E-2</v>
      </c>
      <c r="D6" s="22">
        <v>5.3900000000000003E-2</v>
      </c>
      <c r="E6" s="22">
        <v>5.3900000000000003E-2</v>
      </c>
      <c r="F6" s="22">
        <v>5.3900000000000003E-2</v>
      </c>
      <c r="G6" s="22">
        <v>5.3900000000000003E-2</v>
      </c>
      <c r="H6" s="22">
        <v>5.3900000000000003E-2</v>
      </c>
      <c r="I6" s="22">
        <v>5.3900000000000003E-2</v>
      </c>
      <c r="J6" s="22">
        <v>5.3900000000000003E-2</v>
      </c>
      <c r="K6" s="22">
        <v>5.3900000000000003E-2</v>
      </c>
      <c r="L6" s="22">
        <v>5.3900000000000003E-2</v>
      </c>
      <c r="M6" s="22">
        <v>5.3900000000000003E-2</v>
      </c>
      <c r="N6" s="22">
        <v>5.3900000000000003E-2</v>
      </c>
      <c r="O6" s="22">
        <v>5.3900000000000003E-2</v>
      </c>
      <c r="P6" s="22">
        <v>5.3900000000000003E-2</v>
      </c>
      <c r="Q6" s="22">
        <v>5.3900000000000003E-2</v>
      </c>
      <c r="R6" s="22">
        <v>5.3900000000000003E-2</v>
      </c>
      <c r="S6" s="22">
        <v>5.3900000000000003E-2</v>
      </c>
      <c r="T6" s="22">
        <v>5.3900000000000003E-2</v>
      </c>
      <c r="U6" s="22">
        <v>5.3900000000000003E-2</v>
      </c>
      <c r="V6" s="22">
        <v>5.3900000000000003E-2</v>
      </c>
      <c r="W6" s="22">
        <v>5.3900000000000003E-2</v>
      </c>
      <c r="X6" s="22">
        <v>5.3900000000000003E-2</v>
      </c>
      <c r="Y6" s="22">
        <v>5.3900000000000003E-2</v>
      </c>
      <c r="Z6" s="22">
        <v>5.3900000000000003E-2</v>
      </c>
      <c r="AA6" s="22">
        <v>5.3900000000000003E-2</v>
      </c>
      <c r="AB6" s="22">
        <v>5.3900000000000003E-2</v>
      </c>
      <c r="AC6" s="22">
        <v>5.3900000000000003E-2</v>
      </c>
      <c r="AD6" s="22">
        <v>5.3900000000000003E-2</v>
      </c>
      <c r="AE6" s="22">
        <v>5.3900000000000003E-2</v>
      </c>
      <c r="AF6" s="22">
        <v>5.3900000000000003E-2</v>
      </c>
      <c r="AG6" s="22">
        <v>5.3900000000000003E-2</v>
      </c>
      <c r="AH6" s="22">
        <v>5.3900000000000003E-2</v>
      </c>
      <c r="AI6" s="22">
        <v>5.3900000000000003E-2</v>
      </c>
      <c r="AJ6" s="22">
        <v>5.3900000000000003E-2</v>
      </c>
      <c r="AK6" s="22">
        <v>5.3900000000000003E-2</v>
      </c>
      <c r="AL6" s="22">
        <v>5.3900000000000003E-2</v>
      </c>
      <c r="AM6" s="22">
        <v>5.3900000000000003E-2</v>
      </c>
      <c r="AN6" s="22">
        <v>5.3900000000000003E-2</v>
      </c>
      <c r="AO6" s="22">
        <v>5.3900000000000003E-2</v>
      </c>
      <c r="AP6" s="22">
        <v>5.3900000000000003E-2</v>
      </c>
      <c r="AQ6" s="22">
        <v>5.3900000000000003E-2</v>
      </c>
      <c r="AR6" s="22">
        <v>5.3900000000000003E-2</v>
      </c>
      <c r="AS6" s="22">
        <v>5.3900000000000003E-2</v>
      </c>
      <c r="AT6" s="22">
        <v>5.3900000000000003E-2</v>
      </c>
      <c r="AU6" s="22">
        <v>5.3900000000000003E-2</v>
      </c>
      <c r="AV6" s="6">
        <f>AU6+AU7</f>
        <v>0.61780000000000013</v>
      </c>
    </row>
    <row r="7" spans="1:52" ht="17.100000000000001" customHeight="1" x14ac:dyDescent="0.25">
      <c r="A7" s="4">
        <v>6</v>
      </c>
      <c r="B7" s="5" t="s">
        <v>21</v>
      </c>
      <c r="C7" s="22">
        <v>5.11E-2</v>
      </c>
      <c r="D7" s="22">
        <v>5.11E-2</v>
      </c>
      <c r="E7" s="22">
        <v>5.11E-2</v>
      </c>
      <c r="F7" s="22">
        <v>5.11E-2</v>
      </c>
      <c r="G7" s="22">
        <v>5.11E-2</v>
      </c>
      <c r="H7" s="22">
        <v>5.11E-2</v>
      </c>
      <c r="I7" s="22">
        <v>5.11E-2</v>
      </c>
      <c r="J7" s="22">
        <v>5.11E-2</v>
      </c>
      <c r="K7" s="22">
        <v>5.11E-2</v>
      </c>
      <c r="L7" s="22">
        <v>5.11E-2</v>
      </c>
      <c r="M7" s="22">
        <v>5.11E-2</v>
      </c>
      <c r="N7" s="22">
        <v>5.11E-2</v>
      </c>
      <c r="O7" s="22">
        <v>5.11E-2</v>
      </c>
      <c r="P7" s="22">
        <v>5.11E-2</v>
      </c>
      <c r="Q7" s="22">
        <v>5.11E-2</v>
      </c>
      <c r="R7" s="22">
        <v>5.11E-2</v>
      </c>
      <c r="S7" s="22">
        <v>5.11E-2</v>
      </c>
      <c r="T7" s="22">
        <v>5.11E-2</v>
      </c>
      <c r="U7" s="22">
        <v>5.11E-2</v>
      </c>
      <c r="V7" s="22">
        <v>5.11E-2</v>
      </c>
      <c r="W7" s="22">
        <v>5.11E-2</v>
      </c>
      <c r="X7" s="22">
        <v>5.11E-2</v>
      </c>
      <c r="Y7" s="22">
        <v>5.11E-2</v>
      </c>
      <c r="Z7" s="22">
        <v>5.11E-2</v>
      </c>
      <c r="AA7" s="22">
        <v>5.11E-2</v>
      </c>
      <c r="AB7" s="22">
        <v>5.11E-2</v>
      </c>
      <c r="AC7" s="22">
        <v>5.11E-2</v>
      </c>
      <c r="AD7" s="22">
        <v>5.11E-2</v>
      </c>
      <c r="AE7" s="22">
        <v>5.11E-2</v>
      </c>
      <c r="AF7" s="22">
        <v>5.11E-2</v>
      </c>
      <c r="AG7" s="22">
        <v>5.11E-2</v>
      </c>
      <c r="AH7" s="22">
        <v>5.11E-2</v>
      </c>
      <c r="AI7" s="22">
        <v>5.11E-2</v>
      </c>
      <c r="AJ7" s="22">
        <v>5.11E-2</v>
      </c>
      <c r="AK7" s="22">
        <v>5.11E-2</v>
      </c>
      <c r="AL7" s="22">
        <v>5.11E-2</v>
      </c>
      <c r="AM7" s="22">
        <v>5.11E-2</v>
      </c>
      <c r="AN7" s="22">
        <v>5.11E-2</v>
      </c>
      <c r="AO7" s="22">
        <v>5.11E-2</v>
      </c>
      <c r="AP7" s="22">
        <v>5.11E-2</v>
      </c>
      <c r="AQ7" s="22">
        <v>5.11E-2</v>
      </c>
      <c r="AR7" s="22">
        <v>5.11E-2</v>
      </c>
      <c r="AS7" s="22">
        <v>5.11E-2</v>
      </c>
      <c r="AT7" s="22">
        <v>5.11E-2</v>
      </c>
      <c r="AU7" s="6">
        <f>AT7+AT8</f>
        <v>0.56390000000000007</v>
      </c>
    </row>
    <row r="8" spans="1:52" ht="17.100000000000001" customHeight="1" x14ac:dyDescent="0.25">
      <c r="A8" s="4">
        <v>7</v>
      </c>
      <c r="B8" s="5" t="s">
        <v>11</v>
      </c>
      <c r="C8" s="22">
        <v>4.8300000000000003E-2</v>
      </c>
      <c r="D8" s="22">
        <v>4.8300000000000003E-2</v>
      </c>
      <c r="E8" s="22">
        <v>4.8300000000000003E-2</v>
      </c>
      <c r="F8" s="22">
        <v>4.8300000000000003E-2</v>
      </c>
      <c r="G8" s="22">
        <v>4.8300000000000003E-2</v>
      </c>
      <c r="H8" s="22">
        <v>4.8300000000000003E-2</v>
      </c>
      <c r="I8" s="22">
        <v>4.8300000000000003E-2</v>
      </c>
      <c r="J8" s="22">
        <v>4.8300000000000003E-2</v>
      </c>
      <c r="K8" s="22">
        <v>4.8300000000000003E-2</v>
      </c>
      <c r="L8" s="22">
        <v>4.8300000000000003E-2</v>
      </c>
      <c r="M8" s="22">
        <v>4.8300000000000003E-2</v>
      </c>
      <c r="N8" s="22">
        <v>4.8300000000000003E-2</v>
      </c>
      <c r="O8" s="22">
        <v>4.8300000000000003E-2</v>
      </c>
      <c r="P8" s="22">
        <v>4.8300000000000003E-2</v>
      </c>
      <c r="Q8" s="22">
        <v>4.8300000000000003E-2</v>
      </c>
      <c r="R8" s="22">
        <v>4.8300000000000003E-2</v>
      </c>
      <c r="S8" s="22">
        <v>4.8300000000000003E-2</v>
      </c>
      <c r="T8" s="22">
        <v>4.8300000000000003E-2</v>
      </c>
      <c r="U8" s="22">
        <v>4.8300000000000003E-2</v>
      </c>
      <c r="V8" s="22">
        <v>4.8300000000000003E-2</v>
      </c>
      <c r="W8" s="22">
        <v>4.8300000000000003E-2</v>
      </c>
      <c r="X8" s="22">
        <v>4.8300000000000003E-2</v>
      </c>
      <c r="Y8" s="22">
        <v>4.8300000000000003E-2</v>
      </c>
      <c r="Z8" s="22">
        <v>4.8300000000000003E-2</v>
      </c>
      <c r="AA8" s="22">
        <v>4.8300000000000003E-2</v>
      </c>
      <c r="AB8" s="22">
        <v>4.8300000000000003E-2</v>
      </c>
      <c r="AC8" s="22">
        <v>4.8300000000000003E-2</v>
      </c>
      <c r="AD8" s="22">
        <v>4.8300000000000003E-2</v>
      </c>
      <c r="AE8" s="22">
        <v>4.8300000000000003E-2</v>
      </c>
      <c r="AF8" s="22">
        <v>4.8300000000000003E-2</v>
      </c>
      <c r="AG8" s="22">
        <v>4.8300000000000003E-2</v>
      </c>
      <c r="AH8" s="22">
        <v>4.8300000000000003E-2</v>
      </c>
      <c r="AI8" s="22">
        <v>4.8300000000000003E-2</v>
      </c>
      <c r="AJ8" s="22">
        <v>4.8300000000000003E-2</v>
      </c>
      <c r="AK8" s="22">
        <v>4.8300000000000003E-2</v>
      </c>
      <c r="AL8" s="22">
        <v>4.8300000000000003E-2</v>
      </c>
      <c r="AM8" s="22">
        <v>4.8300000000000003E-2</v>
      </c>
      <c r="AN8" s="22">
        <v>4.8300000000000003E-2</v>
      </c>
      <c r="AO8" s="22">
        <v>4.8300000000000003E-2</v>
      </c>
      <c r="AP8" s="22">
        <v>4.8300000000000003E-2</v>
      </c>
      <c r="AQ8" s="22">
        <v>4.8300000000000003E-2</v>
      </c>
      <c r="AR8" s="22">
        <v>4.8300000000000003E-2</v>
      </c>
      <c r="AS8" s="22">
        <v>4.8300000000000003E-2</v>
      </c>
      <c r="AT8" s="6">
        <f>AS8+AS9</f>
        <v>0.51280000000000003</v>
      </c>
    </row>
    <row r="9" spans="1:52" ht="17.100000000000001" customHeight="1" x14ac:dyDescent="0.25">
      <c r="A9" s="4">
        <v>8</v>
      </c>
      <c r="B9" s="5" t="s">
        <v>14</v>
      </c>
      <c r="C9" s="22">
        <v>4.5400000000000003E-2</v>
      </c>
      <c r="D9" s="22">
        <v>4.5400000000000003E-2</v>
      </c>
      <c r="E9" s="22">
        <v>4.5400000000000003E-2</v>
      </c>
      <c r="F9" s="22">
        <v>4.5400000000000003E-2</v>
      </c>
      <c r="G9" s="22">
        <v>4.5400000000000003E-2</v>
      </c>
      <c r="H9" s="22">
        <v>4.5400000000000003E-2</v>
      </c>
      <c r="I9" s="22">
        <v>4.5400000000000003E-2</v>
      </c>
      <c r="J9" s="22">
        <v>4.5400000000000003E-2</v>
      </c>
      <c r="K9" s="22">
        <v>4.5400000000000003E-2</v>
      </c>
      <c r="L9" s="22">
        <v>4.5400000000000003E-2</v>
      </c>
      <c r="M9" s="22">
        <v>4.5400000000000003E-2</v>
      </c>
      <c r="N9" s="22">
        <v>4.5400000000000003E-2</v>
      </c>
      <c r="O9" s="22">
        <v>4.5400000000000003E-2</v>
      </c>
      <c r="P9" s="22">
        <v>4.5400000000000003E-2</v>
      </c>
      <c r="Q9" s="22">
        <v>4.5400000000000003E-2</v>
      </c>
      <c r="R9" s="22">
        <v>4.5400000000000003E-2</v>
      </c>
      <c r="S9" s="22">
        <v>4.5400000000000003E-2</v>
      </c>
      <c r="T9" s="22">
        <v>4.5400000000000003E-2</v>
      </c>
      <c r="U9" s="22">
        <v>4.5400000000000003E-2</v>
      </c>
      <c r="V9" s="22">
        <v>4.5400000000000003E-2</v>
      </c>
      <c r="W9" s="22">
        <v>4.5400000000000003E-2</v>
      </c>
      <c r="X9" s="22">
        <v>4.5400000000000003E-2</v>
      </c>
      <c r="Y9" s="22">
        <v>4.5400000000000003E-2</v>
      </c>
      <c r="Z9" s="22">
        <v>4.5400000000000003E-2</v>
      </c>
      <c r="AA9" s="22">
        <v>4.5400000000000003E-2</v>
      </c>
      <c r="AB9" s="22">
        <v>4.5400000000000003E-2</v>
      </c>
      <c r="AC9" s="22">
        <v>4.5400000000000003E-2</v>
      </c>
      <c r="AD9" s="22">
        <v>4.5400000000000003E-2</v>
      </c>
      <c r="AE9" s="22">
        <v>4.5400000000000003E-2</v>
      </c>
      <c r="AF9" s="22">
        <v>4.5400000000000003E-2</v>
      </c>
      <c r="AG9" s="22">
        <v>4.5400000000000003E-2</v>
      </c>
      <c r="AH9" s="22">
        <v>4.5400000000000003E-2</v>
      </c>
      <c r="AI9" s="22">
        <v>4.5400000000000003E-2</v>
      </c>
      <c r="AJ9" s="22">
        <v>4.5400000000000003E-2</v>
      </c>
      <c r="AK9" s="22">
        <v>4.5400000000000003E-2</v>
      </c>
      <c r="AL9" s="22">
        <v>4.5400000000000003E-2</v>
      </c>
      <c r="AM9" s="22">
        <v>4.5400000000000003E-2</v>
      </c>
      <c r="AN9" s="22">
        <v>4.5400000000000003E-2</v>
      </c>
      <c r="AO9" s="22">
        <v>4.5400000000000003E-2</v>
      </c>
      <c r="AP9" s="22">
        <v>4.5400000000000003E-2</v>
      </c>
      <c r="AQ9" s="22">
        <v>4.5400000000000003E-2</v>
      </c>
      <c r="AR9" s="22">
        <v>4.5400000000000003E-2</v>
      </c>
      <c r="AS9" s="6">
        <f>AR9+AR10</f>
        <v>0.46450000000000002</v>
      </c>
    </row>
    <row r="10" spans="1:52" ht="17.100000000000001" customHeight="1" x14ac:dyDescent="0.25">
      <c r="A10" s="4">
        <v>9</v>
      </c>
      <c r="B10" s="5" t="s">
        <v>20</v>
      </c>
      <c r="C10" s="22">
        <v>4.1799999999999997E-2</v>
      </c>
      <c r="D10" s="22">
        <v>4.1799999999999997E-2</v>
      </c>
      <c r="E10" s="22">
        <v>4.1799999999999997E-2</v>
      </c>
      <c r="F10" s="22">
        <v>4.1799999999999997E-2</v>
      </c>
      <c r="G10" s="22">
        <v>4.1799999999999997E-2</v>
      </c>
      <c r="H10" s="22">
        <v>4.1799999999999997E-2</v>
      </c>
      <c r="I10" s="22">
        <v>4.1799999999999997E-2</v>
      </c>
      <c r="J10" s="22">
        <v>4.1799999999999997E-2</v>
      </c>
      <c r="K10" s="22">
        <v>4.1799999999999997E-2</v>
      </c>
      <c r="L10" s="22">
        <v>4.1799999999999997E-2</v>
      </c>
      <c r="M10" s="22">
        <v>4.1799999999999997E-2</v>
      </c>
      <c r="N10" s="22">
        <v>4.1799999999999997E-2</v>
      </c>
      <c r="O10" s="22">
        <v>4.1799999999999997E-2</v>
      </c>
      <c r="P10" s="22">
        <v>4.1799999999999997E-2</v>
      </c>
      <c r="Q10" s="22">
        <v>4.1799999999999997E-2</v>
      </c>
      <c r="R10" s="22">
        <v>4.1799999999999997E-2</v>
      </c>
      <c r="S10" s="22">
        <v>4.1799999999999997E-2</v>
      </c>
      <c r="T10" s="22">
        <v>4.1799999999999997E-2</v>
      </c>
      <c r="U10" s="22">
        <v>4.1799999999999997E-2</v>
      </c>
      <c r="V10" s="22">
        <v>4.1799999999999997E-2</v>
      </c>
      <c r="W10" s="22">
        <v>4.1799999999999997E-2</v>
      </c>
      <c r="X10" s="22">
        <v>4.1799999999999997E-2</v>
      </c>
      <c r="Y10" s="22">
        <v>4.1799999999999997E-2</v>
      </c>
      <c r="Z10" s="22">
        <v>4.1799999999999997E-2</v>
      </c>
      <c r="AA10" s="22">
        <v>4.1799999999999997E-2</v>
      </c>
      <c r="AB10" s="22">
        <v>4.1799999999999997E-2</v>
      </c>
      <c r="AC10" s="22">
        <v>4.1799999999999997E-2</v>
      </c>
      <c r="AD10" s="22">
        <v>4.1799999999999997E-2</v>
      </c>
      <c r="AE10" s="22">
        <v>4.1799999999999997E-2</v>
      </c>
      <c r="AF10" s="22">
        <v>4.1799999999999997E-2</v>
      </c>
      <c r="AG10" s="22">
        <v>4.1799999999999997E-2</v>
      </c>
      <c r="AH10" s="22">
        <v>4.1799999999999997E-2</v>
      </c>
      <c r="AI10" s="22">
        <v>4.1799999999999997E-2</v>
      </c>
      <c r="AJ10" s="22">
        <v>4.1799999999999997E-2</v>
      </c>
      <c r="AK10" s="22">
        <v>4.1799999999999997E-2</v>
      </c>
      <c r="AL10" s="22">
        <v>4.1799999999999997E-2</v>
      </c>
      <c r="AM10" s="22">
        <v>4.1799999999999997E-2</v>
      </c>
      <c r="AN10" s="22">
        <v>4.1799999999999997E-2</v>
      </c>
      <c r="AO10" s="22">
        <v>4.1799999999999997E-2</v>
      </c>
      <c r="AP10" s="22">
        <v>4.1799999999999997E-2</v>
      </c>
      <c r="AQ10" s="22">
        <v>4.1799999999999997E-2</v>
      </c>
      <c r="AR10" s="6">
        <f>AQ10+AQ11-0.0001</f>
        <v>0.41910000000000003</v>
      </c>
    </row>
    <row r="11" spans="1:52" ht="17.100000000000001" customHeight="1" x14ac:dyDescent="0.25">
      <c r="A11" s="4">
        <v>10</v>
      </c>
      <c r="B11" s="5" t="s">
        <v>19</v>
      </c>
      <c r="C11" s="22">
        <v>3.7600000000000001E-2</v>
      </c>
      <c r="D11" s="22">
        <v>3.7600000000000001E-2</v>
      </c>
      <c r="E11" s="22">
        <v>3.7600000000000001E-2</v>
      </c>
      <c r="F11" s="22">
        <v>3.7600000000000001E-2</v>
      </c>
      <c r="G11" s="22">
        <v>3.7600000000000001E-2</v>
      </c>
      <c r="H11" s="22">
        <v>3.7600000000000001E-2</v>
      </c>
      <c r="I11" s="22">
        <v>3.7600000000000001E-2</v>
      </c>
      <c r="J11" s="22">
        <v>3.7600000000000001E-2</v>
      </c>
      <c r="K11" s="22">
        <v>3.7600000000000001E-2</v>
      </c>
      <c r="L11" s="22">
        <v>3.7600000000000001E-2</v>
      </c>
      <c r="M11" s="22">
        <v>3.7600000000000001E-2</v>
      </c>
      <c r="N11" s="22">
        <v>3.7600000000000001E-2</v>
      </c>
      <c r="O11" s="22">
        <v>3.7600000000000001E-2</v>
      </c>
      <c r="P11" s="22">
        <v>3.7600000000000001E-2</v>
      </c>
      <c r="Q11" s="22">
        <v>3.7600000000000001E-2</v>
      </c>
      <c r="R11" s="22">
        <v>3.7600000000000001E-2</v>
      </c>
      <c r="S11" s="22">
        <v>3.7600000000000001E-2</v>
      </c>
      <c r="T11" s="22">
        <v>3.7600000000000001E-2</v>
      </c>
      <c r="U11" s="22">
        <v>3.7600000000000001E-2</v>
      </c>
      <c r="V11" s="22">
        <v>3.7600000000000001E-2</v>
      </c>
      <c r="W11" s="22">
        <v>3.7600000000000001E-2</v>
      </c>
      <c r="X11" s="22">
        <v>3.7600000000000001E-2</v>
      </c>
      <c r="Y11" s="22">
        <v>3.7600000000000001E-2</v>
      </c>
      <c r="Z11" s="22">
        <v>3.7600000000000001E-2</v>
      </c>
      <c r="AA11" s="22">
        <v>3.7600000000000001E-2</v>
      </c>
      <c r="AB11" s="22">
        <v>3.7600000000000001E-2</v>
      </c>
      <c r="AC11" s="22">
        <v>3.7600000000000001E-2</v>
      </c>
      <c r="AD11" s="22">
        <v>3.7600000000000001E-2</v>
      </c>
      <c r="AE11" s="22">
        <v>3.7600000000000001E-2</v>
      </c>
      <c r="AF11" s="22">
        <v>3.7600000000000001E-2</v>
      </c>
      <c r="AG11" s="22">
        <v>3.7600000000000001E-2</v>
      </c>
      <c r="AH11" s="22">
        <v>3.7600000000000001E-2</v>
      </c>
      <c r="AI11" s="22">
        <v>3.7600000000000001E-2</v>
      </c>
      <c r="AJ11" s="22">
        <v>3.7600000000000001E-2</v>
      </c>
      <c r="AK11" s="22">
        <v>3.7600000000000001E-2</v>
      </c>
      <c r="AL11" s="22">
        <v>3.7600000000000001E-2</v>
      </c>
      <c r="AM11" s="22">
        <v>3.7600000000000001E-2</v>
      </c>
      <c r="AN11" s="22">
        <v>3.7600000000000001E-2</v>
      </c>
      <c r="AO11" s="22">
        <v>3.7600000000000001E-2</v>
      </c>
      <c r="AP11" s="22">
        <v>3.7600000000000001E-2</v>
      </c>
      <c r="AQ11" s="6">
        <f>AP11+AP12</f>
        <v>0.37740000000000001</v>
      </c>
    </row>
    <row r="12" spans="1:52" ht="17.100000000000001" customHeight="1" x14ac:dyDescent="0.25">
      <c r="A12" s="4">
        <v>11</v>
      </c>
      <c r="B12" s="5" t="s">
        <v>4</v>
      </c>
      <c r="C12" s="22">
        <v>3.3000000000000002E-2</v>
      </c>
      <c r="D12" s="22">
        <v>3.3000000000000002E-2</v>
      </c>
      <c r="E12" s="22">
        <v>3.3000000000000002E-2</v>
      </c>
      <c r="F12" s="22">
        <v>3.3000000000000002E-2</v>
      </c>
      <c r="G12" s="22">
        <v>3.3000000000000002E-2</v>
      </c>
      <c r="H12" s="22">
        <v>3.3000000000000002E-2</v>
      </c>
      <c r="I12" s="22">
        <v>3.3000000000000002E-2</v>
      </c>
      <c r="J12" s="22">
        <v>3.3000000000000002E-2</v>
      </c>
      <c r="K12" s="22">
        <v>3.3000000000000002E-2</v>
      </c>
      <c r="L12" s="22">
        <v>3.3000000000000002E-2</v>
      </c>
      <c r="M12" s="22">
        <v>3.3000000000000002E-2</v>
      </c>
      <c r="N12" s="22">
        <v>3.3000000000000002E-2</v>
      </c>
      <c r="O12" s="22">
        <v>3.3000000000000002E-2</v>
      </c>
      <c r="P12" s="22">
        <v>3.3000000000000002E-2</v>
      </c>
      <c r="Q12" s="22">
        <v>3.3000000000000002E-2</v>
      </c>
      <c r="R12" s="22">
        <v>3.3000000000000002E-2</v>
      </c>
      <c r="S12" s="22">
        <v>3.3000000000000002E-2</v>
      </c>
      <c r="T12" s="22">
        <v>3.3000000000000002E-2</v>
      </c>
      <c r="U12" s="22">
        <v>3.3000000000000002E-2</v>
      </c>
      <c r="V12" s="22">
        <v>3.3000000000000002E-2</v>
      </c>
      <c r="W12" s="22">
        <v>3.3000000000000002E-2</v>
      </c>
      <c r="X12" s="22">
        <v>3.3000000000000002E-2</v>
      </c>
      <c r="Y12" s="22">
        <v>3.3000000000000002E-2</v>
      </c>
      <c r="Z12" s="22">
        <v>3.3000000000000002E-2</v>
      </c>
      <c r="AA12" s="22">
        <v>3.3000000000000002E-2</v>
      </c>
      <c r="AB12" s="22">
        <v>3.3000000000000002E-2</v>
      </c>
      <c r="AC12" s="22">
        <v>3.3000000000000002E-2</v>
      </c>
      <c r="AD12" s="22">
        <v>3.3000000000000002E-2</v>
      </c>
      <c r="AE12" s="22">
        <v>3.3000000000000002E-2</v>
      </c>
      <c r="AF12" s="22">
        <v>3.3000000000000002E-2</v>
      </c>
      <c r="AG12" s="22">
        <v>3.3000000000000002E-2</v>
      </c>
      <c r="AH12" s="22">
        <v>3.3000000000000002E-2</v>
      </c>
      <c r="AI12" s="22">
        <v>3.3000000000000002E-2</v>
      </c>
      <c r="AJ12" s="22">
        <v>3.3000000000000002E-2</v>
      </c>
      <c r="AK12" s="22">
        <v>3.3000000000000002E-2</v>
      </c>
      <c r="AL12" s="22">
        <v>3.3000000000000002E-2</v>
      </c>
      <c r="AM12" s="22">
        <v>3.3000000000000002E-2</v>
      </c>
      <c r="AN12" s="22">
        <v>3.3000000000000002E-2</v>
      </c>
      <c r="AO12" s="22">
        <v>3.3000000000000002E-2</v>
      </c>
      <c r="AP12" s="6">
        <f>AO12+AO13</f>
        <v>0.33979999999999999</v>
      </c>
    </row>
    <row r="13" spans="1:52" ht="17.100000000000001" customHeight="1" x14ac:dyDescent="0.25">
      <c r="A13" s="4">
        <v>12</v>
      </c>
      <c r="B13" s="5" t="s">
        <v>13</v>
      </c>
      <c r="C13" s="22">
        <v>2.81E-2</v>
      </c>
      <c r="D13" s="22">
        <v>2.81E-2</v>
      </c>
      <c r="E13" s="22">
        <v>2.81E-2</v>
      </c>
      <c r="F13" s="22">
        <v>2.81E-2</v>
      </c>
      <c r="G13" s="22">
        <v>2.81E-2</v>
      </c>
      <c r="H13" s="22">
        <v>2.81E-2</v>
      </c>
      <c r="I13" s="22">
        <v>2.81E-2</v>
      </c>
      <c r="J13" s="22">
        <v>2.81E-2</v>
      </c>
      <c r="K13" s="22">
        <v>2.81E-2</v>
      </c>
      <c r="L13" s="22">
        <v>2.81E-2</v>
      </c>
      <c r="M13" s="22">
        <v>2.81E-2</v>
      </c>
      <c r="N13" s="22">
        <v>2.81E-2</v>
      </c>
      <c r="O13" s="22">
        <v>2.81E-2</v>
      </c>
      <c r="P13" s="22">
        <v>2.81E-2</v>
      </c>
      <c r="Q13" s="22">
        <v>2.81E-2</v>
      </c>
      <c r="R13" s="22">
        <v>2.81E-2</v>
      </c>
      <c r="S13" s="22">
        <v>2.81E-2</v>
      </c>
      <c r="T13" s="22">
        <v>2.81E-2</v>
      </c>
      <c r="U13" s="22">
        <v>2.81E-2</v>
      </c>
      <c r="V13" s="22">
        <v>2.81E-2</v>
      </c>
      <c r="W13" s="22">
        <v>2.81E-2</v>
      </c>
      <c r="X13" s="22">
        <v>2.81E-2</v>
      </c>
      <c r="Y13" s="22">
        <v>2.81E-2</v>
      </c>
      <c r="Z13" s="22">
        <v>2.81E-2</v>
      </c>
      <c r="AA13" s="22">
        <v>2.81E-2</v>
      </c>
      <c r="AB13" s="22">
        <v>2.81E-2</v>
      </c>
      <c r="AC13" s="22">
        <v>2.81E-2</v>
      </c>
      <c r="AD13" s="22">
        <v>2.81E-2</v>
      </c>
      <c r="AE13" s="22">
        <v>2.81E-2</v>
      </c>
      <c r="AF13" s="22">
        <v>2.81E-2</v>
      </c>
      <c r="AG13" s="22">
        <v>2.81E-2</v>
      </c>
      <c r="AH13" s="22">
        <v>2.81E-2</v>
      </c>
      <c r="AI13" s="22">
        <v>2.81E-2</v>
      </c>
      <c r="AJ13" s="22">
        <v>2.81E-2</v>
      </c>
      <c r="AK13" s="22">
        <v>2.81E-2</v>
      </c>
      <c r="AL13" s="22">
        <v>2.81E-2</v>
      </c>
      <c r="AM13" s="22">
        <v>2.81E-2</v>
      </c>
      <c r="AN13" s="22">
        <v>2.81E-2</v>
      </c>
      <c r="AO13" s="6">
        <f>AN13+AN14</f>
        <v>0.30680000000000002</v>
      </c>
    </row>
    <row r="14" spans="1:52" ht="17.100000000000001" customHeight="1" x14ac:dyDescent="0.25">
      <c r="A14" s="4">
        <v>13</v>
      </c>
      <c r="B14" s="5" t="s">
        <v>15</v>
      </c>
      <c r="C14" s="22">
        <v>2.7099999999999999E-2</v>
      </c>
      <c r="D14" s="22">
        <v>2.7099999999999999E-2</v>
      </c>
      <c r="E14" s="22">
        <v>2.7099999999999999E-2</v>
      </c>
      <c r="F14" s="22">
        <v>2.7099999999999999E-2</v>
      </c>
      <c r="G14" s="22">
        <v>2.7099999999999999E-2</v>
      </c>
      <c r="H14" s="22">
        <v>2.7099999999999999E-2</v>
      </c>
      <c r="I14" s="22">
        <v>2.7099999999999999E-2</v>
      </c>
      <c r="J14" s="22">
        <v>2.7099999999999999E-2</v>
      </c>
      <c r="K14" s="22">
        <v>2.7099999999999999E-2</v>
      </c>
      <c r="L14" s="22">
        <v>2.7099999999999999E-2</v>
      </c>
      <c r="M14" s="22">
        <v>2.7099999999999999E-2</v>
      </c>
      <c r="N14" s="22">
        <v>2.7099999999999999E-2</v>
      </c>
      <c r="O14" s="22">
        <v>2.7099999999999999E-2</v>
      </c>
      <c r="P14" s="22">
        <v>2.7099999999999999E-2</v>
      </c>
      <c r="Q14" s="22">
        <v>2.7099999999999999E-2</v>
      </c>
      <c r="R14" s="22">
        <v>2.7099999999999999E-2</v>
      </c>
      <c r="S14" s="22">
        <v>2.7099999999999999E-2</v>
      </c>
      <c r="T14" s="22">
        <v>2.7099999999999999E-2</v>
      </c>
      <c r="U14" s="22">
        <v>2.7099999999999999E-2</v>
      </c>
      <c r="V14" s="22">
        <v>2.7099999999999999E-2</v>
      </c>
      <c r="W14" s="22">
        <v>2.7099999999999999E-2</v>
      </c>
      <c r="X14" s="22">
        <v>2.7099999999999999E-2</v>
      </c>
      <c r="Y14" s="22">
        <v>2.7099999999999999E-2</v>
      </c>
      <c r="Z14" s="22">
        <v>2.7099999999999999E-2</v>
      </c>
      <c r="AA14" s="22">
        <v>2.7099999999999999E-2</v>
      </c>
      <c r="AB14" s="22">
        <v>2.7099999999999999E-2</v>
      </c>
      <c r="AC14" s="22">
        <v>2.7099999999999999E-2</v>
      </c>
      <c r="AD14" s="22">
        <v>2.7099999999999999E-2</v>
      </c>
      <c r="AE14" s="22">
        <v>2.7099999999999999E-2</v>
      </c>
      <c r="AF14" s="22">
        <v>2.7099999999999999E-2</v>
      </c>
      <c r="AG14" s="22">
        <v>2.7099999999999999E-2</v>
      </c>
      <c r="AH14" s="22">
        <v>2.7099999999999999E-2</v>
      </c>
      <c r="AI14" s="22">
        <v>2.7099999999999999E-2</v>
      </c>
      <c r="AJ14" s="22">
        <v>2.7099999999999999E-2</v>
      </c>
      <c r="AK14" s="22">
        <v>2.7099999999999999E-2</v>
      </c>
      <c r="AL14" s="22">
        <v>2.7099999999999999E-2</v>
      </c>
      <c r="AM14" s="22">
        <v>2.7099999999999999E-2</v>
      </c>
      <c r="AN14" s="6">
        <f>AM14+AM15</f>
        <v>0.2787</v>
      </c>
    </row>
    <row r="15" spans="1:52" ht="17.100000000000001" customHeight="1" x14ac:dyDescent="0.25">
      <c r="A15" s="4">
        <v>14</v>
      </c>
      <c r="B15" s="5" t="s">
        <v>6</v>
      </c>
      <c r="C15" s="22">
        <v>2.5000000000000001E-2</v>
      </c>
      <c r="D15" s="22">
        <v>2.5000000000000001E-2</v>
      </c>
      <c r="E15" s="22">
        <v>2.5000000000000001E-2</v>
      </c>
      <c r="F15" s="22">
        <v>2.5000000000000001E-2</v>
      </c>
      <c r="G15" s="22">
        <v>2.5000000000000001E-2</v>
      </c>
      <c r="H15" s="22">
        <v>2.5000000000000001E-2</v>
      </c>
      <c r="I15" s="22">
        <v>2.5000000000000001E-2</v>
      </c>
      <c r="J15" s="22">
        <v>2.5000000000000001E-2</v>
      </c>
      <c r="K15" s="22">
        <v>2.5000000000000001E-2</v>
      </c>
      <c r="L15" s="22">
        <v>2.5000000000000001E-2</v>
      </c>
      <c r="M15" s="22">
        <v>2.5000000000000001E-2</v>
      </c>
      <c r="N15" s="22">
        <v>2.5000000000000001E-2</v>
      </c>
      <c r="O15" s="22">
        <v>2.5000000000000001E-2</v>
      </c>
      <c r="P15" s="22">
        <v>2.5000000000000001E-2</v>
      </c>
      <c r="Q15" s="22">
        <v>2.5000000000000001E-2</v>
      </c>
      <c r="R15" s="22">
        <v>2.5000000000000001E-2</v>
      </c>
      <c r="S15" s="22">
        <v>2.5000000000000001E-2</v>
      </c>
      <c r="T15" s="22">
        <v>2.5000000000000001E-2</v>
      </c>
      <c r="U15" s="22">
        <v>2.5000000000000001E-2</v>
      </c>
      <c r="V15" s="22">
        <v>2.5000000000000001E-2</v>
      </c>
      <c r="W15" s="22">
        <v>2.5000000000000001E-2</v>
      </c>
      <c r="X15" s="22">
        <v>2.5000000000000001E-2</v>
      </c>
      <c r="Y15" s="22">
        <v>2.5000000000000001E-2</v>
      </c>
      <c r="Z15" s="30">
        <v>2.5000000000000001E-2</v>
      </c>
      <c r="AA15" s="30">
        <v>2.5000000000000001E-2</v>
      </c>
      <c r="AB15" s="30">
        <v>2.5000000000000001E-2</v>
      </c>
      <c r="AC15" s="30">
        <v>2.5000000000000001E-2</v>
      </c>
      <c r="AD15" s="30">
        <v>2.5000000000000001E-2</v>
      </c>
      <c r="AE15" s="30">
        <v>2.5000000000000001E-2</v>
      </c>
      <c r="AF15" s="30">
        <v>2.5000000000000001E-2</v>
      </c>
      <c r="AG15" s="30">
        <v>2.5000000000000001E-2</v>
      </c>
      <c r="AH15" s="30">
        <v>2.5000000000000001E-2</v>
      </c>
      <c r="AI15" s="30">
        <v>2.5000000000000001E-2</v>
      </c>
      <c r="AJ15" s="30">
        <v>2.5000000000000001E-2</v>
      </c>
      <c r="AK15" s="30">
        <v>2.5000000000000001E-2</v>
      </c>
      <c r="AL15" s="30">
        <v>2.5000000000000001E-2</v>
      </c>
      <c r="AM15" s="22">
        <f>AL15+AL16</f>
        <v>0.25159999999999999</v>
      </c>
    </row>
    <row r="16" spans="1:52" ht="17.100000000000001" customHeight="1" x14ac:dyDescent="0.25">
      <c r="A16" s="4">
        <v>15</v>
      </c>
      <c r="B16" s="5" t="s">
        <v>18</v>
      </c>
      <c r="C16" s="22">
        <v>2.3E-2</v>
      </c>
      <c r="D16" s="22">
        <v>2.3E-2</v>
      </c>
      <c r="E16" s="22">
        <v>2.3E-2</v>
      </c>
      <c r="F16" s="22">
        <v>2.3E-2</v>
      </c>
      <c r="G16" s="22">
        <v>2.3E-2</v>
      </c>
      <c r="H16" s="22">
        <v>2.3E-2</v>
      </c>
      <c r="I16" s="22">
        <v>2.3E-2</v>
      </c>
      <c r="J16" s="22">
        <v>2.3E-2</v>
      </c>
      <c r="K16" s="22">
        <v>2.3E-2</v>
      </c>
      <c r="L16" s="22">
        <v>2.3E-2</v>
      </c>
      <c r="M16" s="22">
        <v>2.3E-2</v>
      </c>
      <c r="N16" s="22">
        <v>2.3E-2</v>
      </c>
      <c r="O16" s="22">
        <v>2.3E-2</v>
      </c>
      <c r="P16" s="22">
        <v>2.3E-2</v>
      </c>
      <c r="Q16" s="22">
        <v>2.3E-2</v>
      </c>
      <c r="R16" s="22">
        <v>2.3E-2</v>
      </c>
      <c r="S16" s="22">
        <v>2.3E-2</v>
      </c>
      <c r="T16" s="22">
        <v>2.3E-2</v>
      </c>
      <c r="U16" s="22">
        <v>2.3E-2</v>
      </c>
      <c r="V16" s="22">
        <v>2.3E-2</v>
      </c>
      <c r="W16" s="22">
        <v>2.3E-2</v>
      </c>
      <c r="X16" s="22">
        <v>2.3E-2</v>
      </c>
      <c r="Y16" s="22">
        <v>2.3E-2</v>
      </c>
      <c r="Z16" s="22">
        <v>2.3E-2</v>
      </c>
      <c r="AA16" s="22">
        <v>2.3E-2</v>
      </c>
      <c r="AB16" s="22">
        <v>2.3E-2</v>
      </c>
      <c r="AC16" s="22">
        <v>2.3E-2</v>
      </c>
      <c r="AD16" s="22">
        <v>2.3E-2</v>
      </c>
      <c r="AE16" s="22">
        <v>2.3E-2</v>
      </c>
      <c r="AF16" s="22">
        <v>2.3E-2</v>
      </c>
      <c r="AG16" s="22">
        <v>2.3E-2</v>
      </c>
      <c r="AH16" s="22">
        <v>2.3E-2</v>
      </c>
      <c r="AI16" s="22">
        <v>2.3E-2</v>
      </c>
      <c r="AJ16" s="22">
        <v>2.3E-2</v>
      </c>
      <c r="AK16" s="22">
        <v>2.3E-2</v>
      </c>
      <c r="AL16" s="22">
        <f>AK16+AK17</f>
        <v>0.2266</v>
      </c>
      <c r="AM16" s="31"/>
    </row>
    <row r="17" spans="1:39" ht="17.100000000000001" customHeight="1" x14ac:dyDescent="0.25">
      <c r="A17" s="4">
        <v>16</v>
      </c>
      <c r="B17" s="5" t="s">
        <v>22</v>
      </c>
      <c r="C17" s="22">
        <v>2.24E-2</v>
      </c>
      <c r="D17" s="22">
        <v>2.24E-2</v>
      </c>
      <c r="E17" s="22">
        <v>2.24E-2</v>
      </c>
      <c r="F17" s="22">
        <v>2.24E-2</v>
      </c>
      <c r="G17" s="22">
        <v>2.24E-2</v>
      </c>
      <c r="H17" s="22">
        <v>2.24E-2</v>
      </c>
      <c r="I17" s="22">
        <v>2.24E-2</v>
      </c>
      <c r="J17" s="22">
        <v>2.24E-2</v>
      </c>
      <c r="K17" s="22">
        <v>2.24E-2</v>
      </c>
      <c r="L17" s="22">
        <v>2.24E-2</v>
      </c>
      <c r="M17" s="22">
        <v>2.24E-2</v>
      </c>
      <c r="N17" s="22">
        <v>2.24E-2</v>
      </c>
      <c r="O17" s="22">
        <v>2.24E-2</v>
      </c>
      <c r="P17" s="22">
        <v>2.24E-2</v>
      </c>
      <c r="Q17" s="22">
        <v>2.24E-2</v>
      </c>
      <c r="R17" s="22">
        <v>2.24E-2</v>
      </c>
      <c r="S17" s="22">
        <v>2.24E-2</v>
      </c>
      <c r="T17" s="22">
        <v>2.24E-2</v>
      </c>
      <c r="U17" s="22">
        <v>2.24E-2</v>
      </c>
      <c r="V17" s="22">
        <v>2.24E-2</v>
      </c>
      <c r="W17" s="22">
        <v>2.24E-2</v>
      </c>
      <c r="X17" s="22">
        <v>2.24E-2</v>
      </c>
      <c r="Y17" s="22">
        <v>2.24E-2</v>
      </c>
      <c r="Z17" s="35">
        <v>2.24E-2</v>
      </c>
      <c r="AA17" s="35">
        <v>2.24E-2</v>
      </c>
      <c r="AB17" s="35">
        <v>2.24E-2</v>
      </c>
      <c r="AC17" s="35">
        <v>2.24E-2</v>
      </c>
      <c r="AD17" s="35">
        <v>2.24E-2</v>
      </c>
      <c r="AE17" s="35">
        <v>2.24E-2</v>
      </c>
      <c r="AF17" s="35">
        <v>2.24E-2</v>
      </c>
      <c r="AG17" s="35">
        <v>2.24E-2</v>
      </c>
      <c r="AH17" s="35">
        <v>2.24E-2</v>
      </c>
      <c r="AI17" s="35">
        <v>2.24E-2</v>
      </c>
      <c r="AJ17" s="35">
        <v>2.24E-2</v>
      </c>
      <c r="AK17" s="35">
        <f>AJ17+AJ18</f>
        <v>0.2036</v>
      </c>
      <c r="AL17" s="31"/>
      <c r="AM17" s="31"/>
    </row>
    <row r="18" spans="1:39" ht="17.100000000000001" customHeight="1" x14ac:dyDescent="0.25">
      <c r="A18" s="4">
        <v>17</v>
      </c>
      <c r="B18" s="5" t="s">
        <v>34</v>
      </c>
      <c r="C18" s="22">
        <v>1.9300000000000001E-2</v>
      </c>
      <c r="D18" s="22">
        <v>1.9300000000000001E-2</v>
      </c>
      <c r="E18" s="22">
        <v>1.9300000000000001E-2</v>
      </c>
      <c r="F18" s="22">
        <v>1.9300000000000001E-2</v>
      </c>
      <c r="G18" s="22">
        <v>1.9300000000000001E-2</v>
      </c>
      <c r="H18" s="22">
        <v>1.9300000000000001E-2</v>
      </c>
      <c r="I18" s="22">
        <v>1.9300000000000001E-2</v>
      </c>
      <c r="J18" s="22">
        <v>1.9300000000000001E-2</v>
      </c>
      <c r="K18" s="22">
        <v>1.9300000000000001E-2</v>
      </c>
      <c r="L18" s="22">
        <v>1.9300000000000001E-2</v>
      </c>
      <c r="M18" s="22">
        <v>1.9300000000000001E-2</v>
      </c>
      <c r="N18" s="22">
        <v>1.9300000000000001E-2</v>
      </c>
      <c r="O18" s="22">
        <v>1.9300000000000001E-2</v>
      </c>
      <c r="P18" s="22">
        <v>1.9300000000000001E-2</v>
      </c>
      <c r="Q18" s="22">
        <v>1.9300000000000001E-2</v>
      </c>
      <c r="R18" s="22">
        <v>1.9300000000000001E-2</v>
      </c>
      <c r="S18" s="22">
        <v>1.9300000000000001E-2</v>
      </c>
      <c r="T18" s="22">
        <v>1.9300000000000001E-2</v>
      </c>
      <c r="U18" s="22">
        <v>1.9300000000000001E-2</v>
      </c>
      <c r="V18" s="22">
        <v>1.9300000000000001E-2</v>
      </c>
      <c r="W18" s="22">
        <v>1.9300000000000001E-2</v>
      </c>
      <c r="X18" s="22">
        <v>1.9300000000000001E-2</v>
      </c>
      <c r="Y18" s="22">
        <v>1.9300000000000001E-2</v>
      </c>
      <c r="Z18" s="22">
        <v>1.9300000000000001E-2</v>
      </c>
      <c r="AA18" s="35">
        <v>1.9300000000000001E-2</v>
      </c>
      <c r="AB18" s="35">
        <v>1.9300000000000001E-2</v>
      </c>
      <c r="AC18" s="35">
        <v>1.9300000000000001E-2</v>
      </c>
      <c r="AD18" s="35">
        <v>1.9300000000000001E-2</v>
      </c>
      <c r="AE18" s="35">
        <v>1.9300000000000001E-2</v>
      </c>
      <c r="AF18" s="35">
        <v>1.9300000000000001E-2</v>
      </c>
      <c r="AG18" s="35">
        <v>1.9300000000000001E-2</v>
      </c>
      <c r="AH18" s="35">
        <v>1.9300000000000001E-2</v>
      </c>
      <c r="AI18" s="35">
        <v>1.9300000000000001E-2</v>
      </c>
      <c r="AJ18" s="35">
        <f>AI18+AI19</f>
        <v>0.1812</v>
      </c>
      <c r="AK18" s="31"/>
      <c r="AL18" s="31"/>
      <c r="AM18" s="31"/>
    </row>
    <row r="19" spans="1:39" ht="17.100000000000001" customHeight="1" x14ac:dyDescent="0.25">
      <c r="A19" s="4">
        <v>18</v>
      </c>
      <c r="B19" s="5" t="s">
        <v>30</v>
      </c>
      <c r="C19" s="22">
        <v>1.7100000000000001E-2</v>
      </c>
      <c r="D19" s="22">
        <v>1.7100000000000001E-2</v>
      </c>
      <c r="E19" s="22">
        <v>1.7100000000000001E-2</v>
      </c>
      <c r="F19" s="22">
        <v>1.7100000000000001E-2</v>
      </c>
      <c r="G19" s="22">
        <v>1.7100000000000001E-2</v>
      </c>
      <c r="H19" s="22">
        <v>1.7100000000000001E-2</v>
      </c>
      <c r="I19" s="22">
        <v>1.7100000000000001E-2</v>
      </c>
      <c r="J19" s="22">
        <v>1.7100000000000001E-2</v>
      </c>
      <c r="K19" s="22">
        <v>1.7100000000000001E-2</v>
      </c>
      <c r="L19" s="22">
        <v>1.7100000000000001E-2</v>
      </c>
      <c r="M19" s="22">
        <v>1.7100000000000001E-2</v>
      </c>
      <c r="N19" s="22">
        <v>1.7100000000000001E-2</v>
      </c>
      <c r="O19" s="22">
        <v>1.7100000000000001E-2</v>
      </c>
      <c r="P19" s="22">
        <v>1.7100000000000001E-2</v>
      </c>
      <c r="Q19" s="22">
        <v>1.7100000000000001E-2</v>
      </c>
      <c r="R19" s="22">
        <v>1.7100000000000001E-2</v>
      </c>
      <c r="S19" s="22">
        <v>1.7100000000000001E-2</v>
      </c>
      <c r="T19" s="22">
        <v>1.7100000000000001E-2</v>
      </c>
      <c r="U19" s="22">
        <v>1.7100000000000001E-2</v>
      </c>
      <c r="V19" s="22">
        <v>1.7100000000000001E-2</v>
      </c>
      <c r="W19" s="22">
        <v>1.7100000000000001E-2</v>
      </c>
      <c r="X19" s="22">
        <v>1.7100000000000001E-2</v>
      </c>
      <c r="Y19" s="22">
        <v>1.7100000000000001E-2</v>
      </c>
      <c r="Z19" s="22">
        <v>1.7100000000000001E-2</v>
      </c>
      <c r="AA19" s="22">
        <v>1.7100000000000001E-2</v>
      </c>
      <c r="AB19" s="35">
        <v>1.7100000000000001E-2</v>
      </c>
      <c r="AC19" s="35">
        <v>1.7100000000000001E-2</v>
      </c>
      <c r="AD19" s="35">
        <v>1.7100000000000001E-2</v>
      </c>
      <c r="AE19" s="35">
        <v>1.7100000000000001E-2</v>
      </c>
      <c r="AF19" s="35">
        <v>1.7100000000000001E-2</v>
      </c>
      <c r="AG19" s="35">
        <v>1.7100000000000001E-2</v>
      </c>
      <c r="AH19" s="35">
        <v>1.7100000000000001E-2</v>
      </c>
      <c r="AI19" s="35">
        <f>AH19+AH20</f>
        <v>0.16189999999999999</v>
      </c>
      <c r="AJ19" s="31"/>
      <c r="AK19" s="31"/>
      <c r="AL19" s="31"/>
      <c r="AM19" s="31"/>
    </row>
    <row r="20" spans="1:39" ht="17.100000000000001" customHeight="1" x14ac:dyDescent="0.25">
      <c r="A20" s="4">
        <v>19</v>
      </c>
      <c r="B20" s="5" t="s">
        <v>35</v>
      </c>
      <c r="C20" s="22">
        <v>1.7000000000000001E-2</v>
      </c>
      <c r="D20" s="22">
        <v>1.7000000000000001E-2</v>
      </c>
      <c r="E20" s="22">
        <v>1.7000000000000001E-2</v>
      </c>
      <c r="F20" s="22">
        <v>1.7000000000000001E-2</v>
      </c>
      <c r="G20" s="22">
        <v>1.7000000000000001E-2</v>
      </c>
      <c r="H20" s="22">
        <v>1.7000000000000001E-2</v>
      </c>
      <c r="I20" s="22">
        <v>1.7000000000000001E-2</v>
      </c>
      <c r="J20" s="22">
        <v>1.7000000000000001E-2</v>
      </c>
      <c r="K20" s="22">
        <v>1.7000000000000001E-2</v>
      </c>
      <c r="L20" s="22">
        <v>1.7000000000000001E-2</v>
      </c>
      <c r="M20" s="22">
        <v>1.7000000000000001E-2</v>
      </c>
      <c r="N20" s="22">
        <v>1.7000000000000001E-2</v>
      </c>
      <c r="O20" s="22">
        <v>1.7000000000000001E-2</v>
      </c>
      <c r="P20" s="22">
        <v>1.7000000000000001E-2</v>
      </c>
      <c r="Q20" s="22">
        <v>1.7000000000000001E-2</v>
      </c>
      <c r="R20" s="22">
        <v>1.7000000000000001E-2</v>
      </c>
      <c r="S20" s="22">
        <v>1.7000000000000001E-2</v>
      </c>
      <c r="T20" s="22">
        <v>1.7000000000000001E-2</v>
      </c>
      <c r="U20" s="22">
        <v>1.7000000000000001E-2</v>
      </c>
      <c r="V20" s="22">
        <v>1.7000000000000001E-2</v>
      </c>
      <c r="W20" s="22">
        <v>1.7000000000000001E-2</v>
      </c>
      <c r="X20" s="22">
        <v>1.7000000000000001E-2</v>
      </c>
      <c r="Y20" s="22">
        <v>1.7000000000000001E-2</v>
      </c>
      <c r="Z20" s="22">
        <v>1.7000000000000001E-2</v>
      </c>
      <c r="AA20" s="22">
        <v>1.7000000000000001E-2</v>
      </c>
      <c r="AB20" s="35">
        <v>1.7000000000000001E-2</v>
      </c>
      <c r="AC20" s="35">
        <v>1.7000000000000001E-2</v>
      </c>
      <c r="AD20" s="35">
        <v>1.7000000000000001E-2</v>
      </c>
      <c r="AE20" s="35">
        <v>1.7000000000000001E-2</v>
      </c>
      <c r="AF20" s="35">
        <v>1.7000000000000001E-2</v>
      </c>
      <c r="AG20" s="35">
        <v>1.7000000000000001E-2</v>
      </c>
      <c r="AH20" s="35">
        <f>AG20+AG21</f>
        <v>0.14479999999999998</v>
      </c>
      <c r="AI20" s="31"/>
      <c r="AJ20" s="31"/>
      <c r="AK20" s="31"/>
      <c r="AL20" s="31"/>
      <c r="AM20" s="31"/>
    </row>
    <row r="21" spans="1:39" ht="17.100000000000001" customHeight="1" x14ac:dyDescent="0.25">
      <c r="A21" s="4">
        <v>20</v>
      </c>
      <c r="B21" s="5" t="s">
        <v>31</v>
      </c>
      <c r="C21" s="22">
        <v>1.52E-2</v>
      </c>
      <c r="D21" s="22">
        <v>1.52E-2</v>
      </c>
      <c r="E21" s="22">
        <v>1.52E-2</v>
      </c>
      <c r="F21" s="22">
        <v>1.52E-2</v>
      </c>
      <c r="G21" s="22">
        <v>1.52E-2</v>
      </c>
      <c r="H21" s="22">
        <v>1.52E-2</v>
      </c>
      <c r="I21" s="22">
        <v>1.52E-2</v>
      </c>
      <c r="J21" s="22">
        <v>1.52E-2</v>
      </c>
      <c r="K21" s="22">
        <v>1.52E-2</v>
      </c>
      <c r="L21" s="22">
        <v>1.52E-2</v>
      </c>
      <c r="M21" s="22">
        <v>1.52E-2</v>
      </c>
      <c r="N21" s="22">
        <v>1.52E-2</v>
      </c>
      <c r="O21" s="22">
        <v>1.52E-2</v>
      </c>
      <c r="P21" s="22">
        <v>1.52E-2</v>
      </c>
      <c r="Q21" s="22">
        <v>1.52E-2</v>
      </c>
      <c r="R21" s="22">
        <v>1.52E-2</v>
      </c>
      <c r="S21" s="22">
        <v>1.52E-2</v>
      </c>
      <c r="T21" s="22">
        <v>1.52E-2</v>
      </c>
      <c r="U21" s="22">
        <v>1.52E-2</v>
      </c>
      <c r="V21" s="22">
        <v>1.52E-2</v>
      </c>
      <c r="W21" s="22">
        <v>1.52E-2</v>
      </c>
      <c r="X21" s="22">
        <v>1.52E-2</v>
      </c>
      <c r="Y21" s="22">
        <v>1.52E-2</v>
      </c>
      <c r="Z21" s="22">
        <v>1.52E-2</v>
      </c>
      <c r="AA21" s="22">
        <v>1.52E-2</v>
      </c>
      <c r="AB21" s="35">
        <v>1.52E-2</v>
      </c>
      <c r="AC21" s="35">
        <v>1.52E-2</v>
      </c>
      <c r="AD21" s="35">
        <v>1.52E-2</v>
      </c>
      <c r="AE21" s="35">
        <v>1.52E-2</v>
      </c>
      <c r="AF21" s="35">
        <v>1.52E-2</v>
      </c>
      <c r="AG21" s="35">
        <f>AF21+AF22</f>
        <v>0.1278</v>
      </c>
      <c r="AH21" s="31"/>
      <c r="AI21" s="31"/>
      <c r="AJ21" s="31"/>
      <c r="AK21" s="31"/>
      <c r="AL21" s="31"/>
      <c r="AM21" s="31"/>
    </row>
    <row r="22" spans="1:39" ht="17.100000000000001" customHeight="1" x14ac:dyDescent="0.25">
      <c r="A22" s="4">
        <v>21</v>
      </c>
      <c r="B22" s="5" t="s">
        <v>5</v>
      </c>
      <c r="C22" s="22">
        <v>1.4E-2</v>
      </c>
      <c r="D22" s="22">
        <v>1.4E-2</v>
      </c>
      <c r="E22" s="22">
        <v>1.4E-2</v>
      </c>
      <c r="F22" s="22">
        <v>1.4E-2</v>
      </c>
      <c r="G22" s="22">
        <v>1.4E-2</v>
      </c>
      <c r="H22" s="22">
        <v>1.4E-2</v>
      </c>
      <c r="I22" s="22">
        <v>1.4E-2</v>
      </c>
      <c r="J22" s="22">
        <v>1.4E-2</v>
      </c>
      <c r="K22" s="22">
        <v>1.4E-2</v>
      </c>
      <c r="L22" s="22">
        <v>1.4E-2</v>
      </c>
      <c r="M22" s="22">
        <v>1.4E-2</v>
      </c>
      <c r="N22" s="22">
        <v>1.4E-2</v>
      </c>
      <c r="O22" s="22">
        <v>1.4E-2</v>
      </c>
      <c r="P22" s="22">
        <v>1.4E-2</v>
      </c>
      <c r="Q22" s="22">
        <v>1.4E-2</v>
      </c>
      <c r="R22" s="22">
        <v>1.4E-2</v>
      </c>
      <c r="S22" s="22">
        <v>1.4E-2</v>
      </c>
      <c r="T22" s="22">
        <v>1.4E-2</v>
      </c>
      <c r="U22" s="22">
        <v>1.4E-2</v>
      </c>
      <c r="V22" s="22">
        <v>1.4E-2</v>
      </c>
      <c r="W22" s="22">
        <v>1.4E-2</v>
      </c>
      <c r="X22" s="22">
        <v>1.4E-2</v>
      </c>
      <c r="Y22" s="22">
        <v>1.4E-2</v>
      </c>
      <c r="Z22" s="22">
        <v>1.4E-2</v>
      </c>
      <c r="AA22" s="22">
        <v>1.4E-2</v>
      </c>
      <c r="AB22" s="35">
        <v>1.4E-2</v>
      </c>
      <c r="AC22" s="35">
        <v>1.4E-2</v>
      </c>
      <c r="AD22" s="35">
        <v>1.4E-2</v>
      </c>
      <c r="AE22" s="35">
        <v>1.4E-2</v>
      </c>
      <c r="AF22" s="35">
        <f>AE22+AE23</f>
        <v>0.11259999999999999</v>
      </c>
      <c r="AG22" s="31"/>
      <c r="AH22" s="31"/>
      <c r="AI22" s="31"/>
      <c r="AJ22" s="31"/>
      <c r="AK22" s="31"/>
      <c r="AL22" s="31"/>
      <c r="AM22" s="31"/>
    </row>
    <row r="23" spans="1:39" ht="17.100000000000001" customHeight="1" x14ac:dyDescent="0.25">
      <c r="A23" s="4">
        <v>22</v>
      </c>
      <c r="B23" s="5" t="s">
        <v>36</v>
      </c>
      <c r="C23" s="22">
        <v>1.35E-2</v>
      </c>
      <c r="D23" s="22">
        <v>1.35E-2</v>
      </c>
      <c r="E23" s="22">
        <v>1.35E-2</v>
      </c>
      <c r="F23" s="22">
        <v>1.35E-2</v>
      </c>
      <c r="G23" s="22">
        <v>1.35E-2</v>
      </c>
      <c r="H23" s="22">
        <v>1.35E-2</v>
      </c>
      <c r="I23" s="22">
        <v>1.35E-2</v>
      </c>
      <c r="J23" s="22">
        <v>1.35E-2</v>
      </c>
      <c r="K23" s="22">
        <v>1.35E-2</v>
      </c>
      <c r="L23" s="22">
        <v>1.35E-2</v>
      </c>
      <c r="M23" s="22">
        <v>1.35E-2</v>
      </c>
      <c r="N23" s="22">
        <v>1.35E-2</v>
      </c>
      <c r="O23" s="22">
        <v>1.35E-2</v>
      </c>
      <c r="P23" s="22">
        <v>1.35E-2</v>
      </c>
      <c r="Q23" s="22">
        <v>1.35E-2</v>
      </c>
      <c r="R23" s="22">
        <v>1.35E-2</v>
      </c>
      <c r="S23" s="22">
        <v>1.35E-2</v>
      </c>
      <c r="T23" s="22">
        <v>1.35E-2</v>
      </c>
      <c r="U23" s="22">
        <v>1.35E-2</v>
      </c>
      <c r="V23" s="22">
        <v>1.35E-2</v>
      </c>
      <c r="W23" s="22">
        <v>1.35E-2</v>
      </c>
      <c r="X23" s="22">
        <v>1.35E-2</v>
      </c>
      <c r="Y23" s="22">
        <v>1.35E-2</v>
      </c>
      <c r="Z23" s="22">
        <v>1.35E-2</v>
      </c>
      <c r="AA23" s="22">
        <v>1.35E-2</v>
      </c>
      <c r="AB23" s="35">
        <v>1.35E-2</v>
      </c>
      <c r="AC23" s="35">
        <v>1.35E-2</v>
      </c>
      <c r="AD23" s="35">
        <v>1.35E-2</v>
      </c>
      <c r="AE23" s="35">
        <f>AD23+AD24</f>
        <v>9.8599999999999993E-2</v>
      </c>
      <c r="AF23" s="31"/>
      <c r="AG23" s="31"/>
      <c r="AH23" s="31"/>
      <c r="AI23" s="31"/>
      <c r="AJ23" s="31"/>
      <c r="AK23" s="31"/>
      <c r="AL23" s="31"/>
      <c r="AM23" s="31"/>
    </row>
    <row r="24" spans="1:39" ht="17.100000000000001" customHeight="1" x14ac:dyDescent="0.25">
      <c r="A24" s="4">
        <v>23</v>
      </c>
      <c r="B24" s="5" t="s">
        <v>3</v>
      </c>
      <c r="C24" s="22">
        <v>1.2999999999999999E-2</v>
      </c>
      <c r="D24" s="22">
        <v>1.2999999999999999E-2</v>
      </c>
      <c r="E24" s="22">
        <v>1.2999999999999999E-2</v>
      </c>
      <c r="F24" s="22">
        <v>1.2999999999999999E-2</v>
      </c>
      <c r="G24" s="22">
        <v>1.2999999999999999E-2</v>
      </c>
      <c r="H24" s="22">
        <v>1.2999999999999999E-2</v>
      </c>
      <c r="I24" s="22">
        <v>1.2999999999999999E-2</v>
      </c>
      <c r="J24" s="22">
        <v>1.2999999999999999E-2</v>
      </c>
      <c r="K24" s="22">
        <v>1.2999999999999999E-2</v>
      </c>
      <c r="L24" s="22">
        <v>1.2999999999999999E-2</v>
      </c>
      <c r="M24" s="22">
        <v>1.2999999999999999E-2</v>
      </c>
      <c r="N24" s="22">
        <v>1.2999999999999999E-2</v>
      </c>
      <c r="O24" s="22">
        <v>1.2999999999999999E-2</v>
      </c>
      <c r="P24" s="22">
        <v>1.2999999999999999E-2</v>
      </c>
      <c r="Q24" s="22">
        <v>1.2999999999999999E-2</v>
      </c>
      <c r="R24" s="22">
        <v>1.2999999999999999E-2</v>
      </c>
      <c r="S24" s="22">
        <v>1.2999999999999999E-2</v>
      </c>
      <c r="T24" s="22">
        <v>1.2999999999999999E-2</v>
      </c>
      <c r="U24" s="22">
        <v>1.2999999999999999E-2</v>
      </c>
      <c r="V24" s="22">
        <v>1.2999999999999999E-2</v>
      </c>
      <c r="W24" s="22">
        <v>1.2999999999999999E-2</v>
      </c>
      <c r="X24" s="22">
        <v>1.2999999999999999E-2</v>
      </c>
      <c r="Y24" s="22">
        <v>1.2999999999999999E-2</v>
      </c>
      <c r="Z24" s="22">
        <v>1.2999999999999999E-2</v>
      </c>
      <c r="AA24" s="22">
        <v>1.2999999999999999E-2</v>
      </c>
      <c r="AB24" s="35">
        <v>1.2999999999999999E-2</v>
      </c>
      <c r="AC24" s="35">
        <v>1.2999999999999999E-2</v>
      </c>
      <c r="AD24" s="35">
        <f>AC24+AC25</f>
        <v>8.5099999999999995E-2</v>
      </c>
      <c r="AE24" s="31"/>
      <c r="AF24" s="31"/>
      <c r="AG24" s="31"/>
      <c r="AH24" s="31"/>
      <c r="AI24" s="31"/>
      <c r="AJ24" s="31"/>
      <c r="AK24" s="31"/>
      <c r="AL24" s="31"/>
      <c r="AM24" s="31"/>
    </row>
    <row r="25" spans="1:39" ht="17.100000000000001" customHeight="1" x14ac:dyDescent="0.25">
      <c r="A25" s="4">
        <v>24</v>
      </c>
      <c r="B25" s="5" t="s">
        <v>10</v>
      </c>
      <c r="C25" s="22">
        <v>1.24E-2</v>
      </c>
      <c r="D25" s="22">
        <v>1.24E-2</v>
      </c>
      <c r="E25" s="22">
        <v>1.24E-2</v>
      </c>
      <c r="F25" s="22">
        <v>1.24E-2</v>
      </c>
      <c r="G25" s="22">
        <v>1.24E-2</v>
      </c>
      <c r="H25" s="22">
        <v>1.24E-2</v>
      </c>
      <c r="I25" s="22">
        <v>1.24E-2</v>
      </c>
      <c r="J25" s="22">
        <v>1.24E-2</v>
      </c>
      <c r="K25" s="22">
        <v>1.24E-2</v>
      </c>
      <c r="L25" s="22">
        <v>1.24E-2</v>
      </c>
      <c r="M25" s="22">
        <v>1.24E-2</v>
      </c>
      <c r="N25" s="22">
        <v>1.24E-2</v>
      </c>
      <c r="O25" s="22">
        <v>1.24E-2</v>
      </c>
      <c r="P25" s="22">
        <v>1.24E-2</v>
      </c>
      <c r="Q25" s="22">
        <v>1.24E-2</v>
      </c>
      <c r="R25" s="29">
        <v>1.24E-2</v>
      </c>
      <c r="S25" s="22">
        <v>1.24E-2</v>
      </c>
      <c r="T25" s="22">
        <v>1.24E-2</v>
      </c>
      <c r="U25" s="22">
        <v>1.24E-2</v>
      </c>
      <c r="V25" s="22">
        <v>1.24E-2</v>
      </c>
      <c r="W25" s="22">
        <v>1.24E-2</v>
      </c>
      <c r="X25" s="22">
        <v>1.24E-2</v>
      </c>
      <c r="Y25" s="22">
        <v>1.24E-2</v>
      </c>
      <c r="Z25" s="22">
        <v>1.24E-2</v>
      </c>
      <c r="AA25" s="22">
        <v>1.24E-2</v>
      </c>
      <c r="AB25" s="35">
        <v>1.24E-2</v>
      </c>
      <c r="AC25" s="35">
        <f>AB25+AB26</f>
        <v>7.2099999999999997E-2</v>
      </c>
      <c r="AD25" s="31"/>
      <c r="AE25" s="31"/>
      <c r="AF25" s="31"/>
      <c r="AG25" s="31"/>
      <c r="AH25" s="31"/>
      <c r="AI25" s="31"/>
      <c r="AJ25" s="31"/>
      <c r="AK25" s="31"/>
      <c r="AL25" s="31"/>
      <c r="AM25" s="31"/>
    </row>
    <row r="26" spans="1:39" ht="17.100000000000001" customHeight="1" x14ac:dyDescent="0.25">
      <c r="A26" s="4">
        <v>25</v>
      </c>
      <c r="B26" s="5" t="s">
        <v>26</v>
      </c>
      <c r="C26" s="22">
        <v>9.9000000000000008E-3</v>
      </c>
      <c r="D26" s="22">
        <v>9.9000000000000008E-3</v>
      </c>
      <c r="E26" s="22">
        <v>9.9000000000000008E-3</v>
      </c>
      <c r="F26" s="22">
        <v>9.9000000000000008E-3</v>
      </c>
      <c r="G26" s="22">
        <v>9.9000000000000008E-3</v>
      </c>
      <c r="H26" s="22">
        <v>9.9000000000000008E-3</v>
      </c>
      <c r="I26" s="22">
        <v>9.9000000000000008E-3</v>
      </c>
      <c r="J26" s="22">
        <v>9.9000000000000008E-3</v>
      </c>
      <c r="K26" s="22">
        <v>9.9000000000000008E-3</v>
      </c>
      <c r="L26" s="22">
        <v>9.9000000000000008E-3</v>
      </c>
      <c r="M26" s="22">
        <v>9.9000000000000008E-3</v>
      </c>
      <c r="N26" s="22">
        <v>9.9000000000000008E-3</v>
      </c>
      <c r="O26" s="22">
        <v>9.9000000000000008E-3</v>
      </c>
      <c r="P26" s="22">
        <v>9.9000000000000008E-3</v>
      </c>
      <c r="Q26" s="22">
        <v>9.9000000000000008E-3</v>
      </c>
      <c r="R26" s="32">
        <v>9.9000000000000008E-3</v>
      </c>
      <c r="S26" s="22">
        <v>9.9000000000000008E-3</v>
      </c>
      <c r="T26" s="22">
        <v>9.9000000000000008E-3</v>
      </c>
      <c r="U26" s="22">
        <v>9.9000000000000008E-3</v>
      </c>
      <c r="V26" s="22">
        <v>9.9000000000000008E-3</v>
      </c>
      <c r="W26" s="22">
        <v>9.9000000000000008E-3</v>
      </c>
      <c r="X26" s="22">
        <v>9.9000000000000008E-3</v>
      </c>
      <c r="Y26" s="22">
        <v>9.9000000000000008E-3</v>
      </c>
      <c r="Z26" s="22">
        <v>9.9000000000000008E-3</v>
      </c>
      <c r="AA26" s="22">
        <v>9.9000000000000008E-3</v>
      </c>
      <c r="AB26" s="35">
        <f>AA26+AA27</f>
        <v>5.9699999999999996E-2</v>
      </c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</row>
    <row r="27" spans="1:39" ht="17.100000000000001" customHeight="1" x14ac:dyDescent="0.25">
      <c r="A27" s="4">
        <v>26</v>
      </c>
      <c r="B27" s="5" t="s">
        <v>12</v>
      </c>
      <c r="C27" s="22">
        <v>8.3999999999999995E-3</v>
      </c>
      <c r="D27" s="22">
        <v>8.3999999999999995E-3</v>
      </c>
      <c r="E27" s="22">
        <v>8.3999999999999995E-3</v>
      </c>
      <c r="F27" s="22">
        <v>8.3999999999999995E-3</v>
      </c>
      <c r="G27" s="22">
        <v>8.3999999999999995E-3</v>
      </c>
      <c r="H27" s="22">
        <v>8.3999999999999995E-3</v>
      </c>
      <c r="I27" s="22">
        <v>8.3999999999999995E-3</v>
      </c>
      <c r="J27" s="22">
        <v>8.3999999999999995E-3</v>
      </c>
      <c r="K27" s="22">
        <v>8.3999999999999995E-3</v>
      </c>
      <c r="L27" s="22">
        <v>8.3999999999999995E-3</v>
      </c>
      <c r="M27" s="22">
        <v>8.3999999999999995E-3</v>
      </c>
      <c r="N27" s="22">
        <v>8.3999999999999995E-3</v>
      </c>
      <c r="O27" s="22">
        <v>8.3999999999999995E-3</v>
      </c>
      <c r="P27" s="22">
        <v>8.3999999999999995E-3</v>
      </c>
      <c r="Q27" s="22">
        <v>8.3999999999999995E-3</v>
      </c>
      <c r="R27" s="22">
        <v>8.3999999999999995E-3</v>
      </c>
      <c r="S27" s="22">
        <v>8.3999999999999995E-3</v>
      </c>
      <c r="T27" s="22">
        <v>8.3999999999999995E-3</v>
      </c>
      <c r="U27" s="22">
        <v>8.3999999999999995E-3</v>
      </c>
      <c r="V27" s="22">
        <v>8.3999999999999995E-3</v>
      </c>
      <c r="W27" s="22">
        <v>8.3999999999999995E-3</v>
      </c>
      <c r="X27" s="22">
        <v>8.3999999999999995E-3</v>
      </c>
      <c r="Y27" s="22">
        <v>8.3999999999999995E-3</v>
      </c>
      <c r="Z27" s="22">
        <v>8.3999999999999995E-3</v>
      </c>
      <c r="AA27" s="6">
        <f>Z27+Z28</f>
        <v>4.9799999999999997E-2</v>
      </c>
    </row>
    <row r="28" spans="1:39" ht="17.100000000000001" customHeight="1" x14ac:dyDescent="0.25">
      <c r="A28" s="4">
        <v>27</v>
      </c>
      <c r="B28" s="5" t="s">
        <v>27</v>
      </c>
      <c r="C28" s="22">
        <v>8.2000000000000007E-3</v>
      </c>
      <c r="D28" s="22">
        <v>8.2000000000000007E-3</v>
      </c>
      <c r="E28" s="22">
        <v>8.2000000000000007E-3</v>
      </c>
      <c r="F28" s="22">
        <v>8.2000000000000007E-3</v>
      </c>
      <c r="G28" s="22">
        <v>8.2000000000000007E-3</v>
      </c>
      <c r="H28" s="22">
        <v>8.2000000000000007E-3</v>
      </c>
      <c r="I28" s="22">
        <v>8.2000000000000007E-3</v>
      </c>
      <c r="J28" s="22">
        <v>8.2000000000000007E-3</v>
      </c>
      <c r="K28" s="22">
        <v>8.2000000000000007E-3</v>
      </c>
      <c r="L28" s="22">
        <v>8.2000000000000007E-3</v>
      </c>
      <c r="M28" s="22">
        <v>8.2000000000000007E-3</v>
      </c>
      <c r="N28" s="22">
        <v>8.2000000000000007E-3</v>
      </c>
      <c r="O28" s="22">
        <v>8.2000000000000007E-3</v>
      </c>
      <c r="P28" s="22">
        <v>8.2000000000000007E-3</v>
      </c>
      <c r="Q28" s="22">
        <v>8.2000000000000007E-3</v>
      </c>
      <c r="R28" s="35">
        <v>8.2000000000000007E-3</v>
      </c>
      <c r="S28" s="35">
        <v>8.2000000000000007E-3</v>
      </c>
      <c r="T28" s="35">
        <v>8.2000000000000007E-3</v>
      </c>
      <c r="U28" s="35">
        <v>8.2000000000000007E-3</v>
      </c>
      <c r="V28" s="35">
        <v>8.2000000000000007E-3</v>
      </c>
      <c r="W28" s="35">
        <v>8.2000000000000007E-3</v>
      </c>
      <c r="X28" s="35">
        <v>8.2000000000000007E-3</v>
      </c>
      <c r="Y28" s="35">
        <v>8.2000000000000007E-3</v>
      </c>
      <c r="Z28" s="35">
        <f>Y28+Y29</f>
        <v>4.1399999999999999E-2</v>
      </c>
    </row>
    <row r="29" spans="1:39" ht="17.100000000000001" customHeight="1" x14ac:dyDescent="0.25">
      <c r="A29" s="4">
        <v>28</v>
      </c>
      <c r="B29" s="5" t="s">
        <v>9</v>
      </c>
      <c r="C29" s="22">
        <v>7.7999999999999996E-3</v>
      </c>
      <c r="D29" s="22">
        <v>7.7999999999999996E-3</v>
      </c>
      <c r="E29" s="22">
        <v>7.7999999999999996E-3</v>
      </c>
      <c r="F29" s="22">
        <v>7.7999999999999996E-3</v>
      </c>
      <c r="G29" s="22">
        <v>7.7999999999999996E-3</v>
      </c>
      <c r="H29" s="22">
        <v>7.7999999999999996E-3</v>
      </c>
      <c r="I29" s="22">
        <v>7.7999999999999996E-3</v>
      </c>
      <c r="J29" s="22">
        <v>7.7999999999999996E-3</v>
      </c>
      <c r="K29" s="22">
        <v>7.7999999999999996E-3</v>
      </c>
      <c r="L29" s="22">
        <v>7.7999999999999996E-3</v>
      </c>
      <c r="M29" s="22">
        <v>7.7999999999999996E-3</v>
      </c>
      <c r="N29" s="22">
        <v>7.7999999999999996E-3</v>
      </c>
      <c r="O29" s="22">
        <v>7.7999999999999996E-3</v>
      </c>
      <c r="P29" s="22">
        <v>7.7999999999999996E-3</v>
      </c>
      <c r="Q29" s="22">
        <v>7.7999999999999996E-3</v>
      </c>
      <c r="R29" s="35">
        <v>7.7999999999999996E-3</v>
      </c>
      <c r="S29" s="35">
        <v>7.7999999999999996E-3</v>
      </c>
      <c r="T29" s="35">
        <v>7.7999999999999996E-3</v>
      </c>
      <c r="U29" s="35">
        <v>7.7999999999999996E-3</v>
      </c>
      <c r="V29" s="35">
        <v>7.7999999999999996E-3</v>
      </c>
      <c r="W29" s="35">
        <v>7.7999999999999996E-3</v>
      </c>
      <c r="X29" s="35">
        <v>7.7999999999999996E-3</v>
      </c>
      <c r="Y29" s="35">
        <f>X29+X30</f>
        <v>3.32E-2</v>
      </c>
      <c r="Z29" s="31"/>
    </row>
    <row r="30" spans="1:39" ht="17.100000000000001" customHeight="1" x14ac:dyDescent="0.25">
      <c r="A30" s="4">
        <v>29</v>
      </c>
      <c r="B30" s="5" t="s">
        <v>24</v>
      </c>
      <c r="C30" s="22">
        <v>5.1999999999999998E-3</v>
      </c>
      <c r="D30" s="22">
        <v>5.1999999999999998E-3</v>
      </c>
      <c r="E30" s="22">
        <v>5.1999999999999998E-3</v>
      </c>
      <c r="F30" s="22">
        <v>5.1999999999999998E-3</v>
      </c>
      <c r="G30" s="22">
        <v>5.1999999999999998E-3</v>
      </c>
      <c r="H30" s="22">
        <v>5.1999999999999998E-3</v>
      </c>
      <c r="I30" s="22">
        <v>5.1999999999999998E-3</v>
      </c>
      <c r="J30" s="22">
        <v>5.1999999999999998E-3</v>
      </c>
      <c r="K30" s="22">
        <v>5.1999999999999998E-3</v>
      </c>
      <c r="L30" s="22">
        <v>5.1999999999999998E-3</v>
      </c>
      <c r="M30" s="22">
        <v>5.1999999999999998E-3</v>
      </c>
      <c r="N30" s="22">
        <v>5.1999999999999998E-3</v>
      </c>
      <c r="O30" s="22">
        <v>5.1999999999999998E-3</v>
      </c>
      <c r="P30" s="22">
        <v>5.1999999999999998E-3</v>
      </c>
      <c r="Q30" s="22">
        <v>5.1999999999999998E-3</v>
      </c>
      <c r="R30" s="35">
        <v>5.1999999999999998E-3</v>
      </c>
      <c r="S30" s="35">
        <v>5.1999999999999998E-3</v>
      </c>
      <c r="T30" s="35">
        <v>5.1999999999999998E-3</v>
      </c>
      <c r="U30" s="35">
        <v>5.1999999999999998E-3</v>
      </c>
      <c r="V30" s="35">
        <v>5.1999999999999998E-3</v>
      </c>
      <c r="W30" s="35">
        <v>5.1999999999999998E-3</v>
      </c>
      <c r="X30" s="35">
        <f>W30+W31</f>
        <v>2.5399999999999999E-2</v>
      </c>
      <c r="Y30" s="31"/>
      <c r="Z30" s="31"/>
    </row>
    <row r="31" spans="1:39" ht="17.100000000000001" customHeight="1" x14ac:dyDescent="0.25">
      <c r="A31" s="4">
        <v>30</v>
      </c>
      <c r="B31" s="5" t="s">
        <v>33</v>
      </c>
      <c r="C31" s="22">
        <v>4.7000000000000002E-3</v>
      </c>
      <c r="D31" s="22">
        <v>4.7000000000000002E-3</v>
      </c>
      <c r="E31" s="22">
        <v>4.7000000000000002E-3</v>
      </c>
      <c r="F31" s="22">
        <v>4.7000000000000002E-3</v>
      </c>
      <c r="G31" s="22">
        <v>4.7000000000000002E-3</v>
      </c>
      <c r="H31" s="22">
        <v>4.7000000000000002E-3</v>
      </c>
      <c r="I31" s="22">
        <v>4.7000000000000002E-3</v>
      </c>
      <c r="J31" s="22">
        <v>4.7000000000000002E-3</v>
      </c>
      <c r="K31" s="22">
        <v>4.7000000000000002E-3</v>
      </c>
      <c r="L31" s="22">
        <v>4.7000000000000002E-3</v>
      </c>
      <c r="M31" s="22">
        <v>4.7000000000000002E-3</v>
      </c>
      <c r="N31" s="22">
        <v>4.7000000000000002E-3</v>
      </c>
      <c r="O31" s="22">
        <v>4.7000000000000002E-3</v>
      </c>
      <c r="P31" s="22">
        <v>4.7000000000000002E-3</v>
      </c>
      <c r="Q31" s="22">
        <v>4.7000000000000002E-3</v>
      </c>
      <c r="R31" s="35">
        <v>4.7000000000000002E-3</v>
      </c>
      <c r="S31" s="35">
        <v>4.7000000000000002E-3</v>
      </c>
      <c r="T31" s="35">
        <v>4.7000000000000002E-3</v>
      </c>
      <c r="U31" s="35">
        <v>4.7000000000000002E-3</v>
      </c>
      <c r="V31" s="35">
        <v>4.7000000000000002E-3</v>
      </c>
      <c r="W31" s="35">
        <f>V31+V32</f>
        <v>2.0199999999999999E-2</v>
      </c>
      <c r="X31" s="31"/>
      <c r="Y31" s="31"/>
      <c r="Z31" s="31"/>
    </row>
    <row r="32" spans="1:39" ht="17.100000000000001" customHeight="1" x14ac:dyDescent="0.25">
      <c r="A32" s="4">
        <v>31</v>
      </c>
      <c r="B32" s="5" t="s">
        <v>25</v>
      </c>
      <c r="C32" s="22">
        <v>3.8999999999999998E-3</v>
      </c>
      <c r="D32" s="22">
        <v>3.8999999999999998E-3</v>
      </c>
      <c r="E32" s="22">
        <v>3.8999999999999998E-3</v>
      </c>
      <c r="F32" s="22">
        <v>3.8999999999999998E-3</v>
      </c>
      <c r="G32" s="22">
        <v>3.8999999999999998E-3</v>
      </c>
      <c r="H32" s="22">
        <v>3.8999999999999998E-3</v>
      </c>
      <c r="I32" s="22">
        <v>3.8999999999999998E-3</v>
      </c>
      <c r="J32" s="22">
        <v>3.8999999999999998E-3</v>
      </c>
      <c r="K32" s="22">
        <v>3.8999999999999998E-3</v>
      </c>
      <c r="L32" s="22">
        <v>3.8999999999999998E-3</v>
      </c>
      <c r="M32" s="22">
        <v>3.8999999999999998E-3</v>
      </c>
      <c r="N32" s="22">
        <v>3.8999999999999998E-3</v>
      </c>
      <c r="O32" s="22">
        <v>3.8999999999999998E-3</v>
      </c>
      <c r="P32" s="22">
        <v>3.8999999999999998E-3</v>
      </c>
      <c r="Q32" s="22">
        <v>3.8999999999999998E-3</v>
      </c>
      <c r="R32" s="35">
        <v>3.8999999999999998E-3</v>
      </c>
      <c r="S32" s="35">
        <v>3.8999999999999998E-3</v>
      </c>
      <c r="T32" s="35">
        <v>3.8999999999999998E-3</v>
      </c>
      <c r="U32" s="35">
        <v>3.8999999999999998E-3</v>
      </c>
      <c r="V32" s="35">
        <f>U32+U33</f>
        <v>1.55E-2</v>
      </c>
      <c r="W32" s="31"/>
      <c r="X32" s="31"/>
      <c r="Y32" s="31"/>
      <c r="Z32" s="31"/>
    </row>
    <row r="33" spans="1:26" ht="17.100000000000001" customHeight="1" x14ac:dyDescent="0.25">
      <c r="A33" s="4">
        <v>32</v>
      </c>
      <c r="B33" s="5" t="s">
        <v>28</v>
      </c>
      <c r="C33" s="22">
        <v>3.0000000000000001E-3</v>
      </c>
      <c r="D33" s="22">
        <v>3.0000000000000001E-3</v>
      </c>
      <c r="E33" s="22">
        <v>3.0000000000000001E-3</v>
      </c>
      <c r="F33" s="22">
        <v>3.0000000000000001E-3</v>
      </c>
      <c r="G33" s="22">
        <v>3.0000000000000001E-3</v>
      </c>
      <c r="H33" s="22">
        <v>3.0000000000000001E-3</v>
      </c>
      <c r="I33" s="22">
        <v>3.0000000000000001E-3</v>
      </c>
      <c r="J33" s="22">
        <v>3.0000000000000001E-3</v>
      </c>
      <c r="K33" s="22">
        <v>3.0000000000000001E-3</v>
      </c>
      <c r="L33" s="22">
        <v>3.0000000000000001E-3</v>
      </c>
      <c r="M33" s="22">
        <v>3.0000000000000001E-3</v>
      </c>
      <c r="N33" s="22">
        <v>3.0000000000000001E-3</v>
      </c>
      <c r="O33" s="22">
        <v>3.0000000000000001E-3</v>
      </c>
      <c r="P33" s="22">
        <v>3.0000000000000001E-3</v>
      </c>
      <c r="Q33" s="22">
        <v>3.0000000000000001E-3</v>
      </c>
      <c r="R33" s="35">
        <v>3.0000000000000001E-3</v>
      </c>
      <c r="S33" s="35">
        <v>3.0000000000000001E-3</v>
      </c>
      <c r="T33" s="35">
        <v>3.0000000000000001E-3</v>
      </c>
      <c r="U33" s="35">
        <f>T33+T34</f>
        <v>1.1599999999999999E-2</v>
      </c>
      <c r="V33" s="31"/>
      <c r="W33" s="31"/>
      <c r="X33" s="31"/>
      <c r="Y33" s="31"/>
      <c r="Z33" s="31"/>
    </row>
    <row r="34" spans="1:26" ht="17.100000000000001" customHeight="1" x14ac:dyDescent="0.25">
      <c r="A34" s="4">
        <v>33</v>
      </c>
      <c r="B34" s="5" t="s">
        <v>32</v>
      </c>
      <c r="C34" s="22">
        <v>2.2000000000000001E-3</v>
      </c>
      <c r="D34" s="22">
        <v>2.2000000000000001E-3</v>
      </c>
      <c r="E34" s="22">
        <v>2.2000000000000001E-3</v>
      </c>
      <c r="F34" s="22">
        <v>2.2000000000000001E-3</v>
      </c>
      <c r="G34" s="22">
        <v>2.2000000000000001E-3</v>
      </c>
      <c r="H34" s="22">
        <v>2.2000000000000001E-3</v>
      </c>
      <c r="I34" s="22">
        <v>2.2000000000000001E-3</v>
      </c>
      <c r="J34" s="22">
        <v>2.2000000000000001E-3</v>
      </c>
      <c r="K34" s="22">
        <v>2.2000000000000001E-3</v>
      </c>
      <c r="L34" s="22">
        <v>2.2000000000000001E-3</v>
      </c>
      <c r="M34" s="22">
        <v>2.2000000000000001E-3</v>
      </c>
      <c r="N34" s="22">
        <v>2.2000000000000001E-3</v>
      </c>
      <c r="O34" s="22">
        <v>2.2000000000000001E-3</v>
      </c>
      <c r="P34" s="22">
        <v>2.2000000000000001E-3</v>
      </c>
      <c r="Q34" s="22">
        <v>2.2000000000000001E-3</v>
      </c>
      <c r="R34" s="35">
        <v>2.2000000000000001E-3</v>
      </c>
      <c r="S34" s="35">
        <v>2.2000000000000001E-3</v>
      </c>
      <c r="T34" s="35">
        <f>S34+S35</f>
        <v>8.6E-3</v>
      </c>
      <c r="U34" s="31"/>
      <c r="V34" s="31"/>
      <c r="W34" s="31"/>
      <c r="X34" s="31"/>
      <c r="Y34" s="31"/>
      <c r="Z34" s="31"/>
    </row>
    <row r="35" spans="1:26" ht="17.100000000000001" customHeight="1" x14ac:dyDescent="0.25">
      <c r="A35" s="4">
        <v>34</v>
      </c>
      <c r="B35" s="5" t="s">
        <v>23</v>
      </c>
      <c r="C35" s="22">
        <v>1.4E-3</v>
      </c>
      <c r="D35" s="22">
        <v>1.4E-3</v>
      </c>
      <c r="E35" s="22">
        <v>1.4E-3</v>
      </c>
      <c r="F35" s="22">
        <v>1.4E-3</v>
      </c>
      <c r="G35" s="22">
        <v>1.4E-3</v>
      </c>
      <c r="H35" s="22">
        <v>1.4E-3</v>
      </c>
      <c r="I35" s="22">
        <v>1.4E-3</v>
      </c>
      <c r="J35" s="22">
        <v>1.4E-3</v>
      </c>
      <c r="K35" s="22">
        <v>1.4E-3</v>
      </c>
      <c r="L35" s="22">
        <v>1.4E-3</v>
      </c>
      <c r="M35" s="22">
        <v>1.4E-3</v>
      </c>
      <c r="N35" s="22">
        <v>1.4E-3</v>
      </c>
      <c r="O35" s="22">
        <v>1.4E-3</v>
      </c>
      <c r="P35" s="22">
        <v>1.4E-3</v>
      </c>
      <c r="Q35" s="22">
        <v>1.4E-3</v>
      </c>
      <c r="R35" s="35">
        <v>1.4E-3</v>
      </c>
      <c r="S35" s="35">
        <f>R35+R36</f>
        <v>6.4000000000000003E-3</v>
      </c>
      <c r="T35" s="31"/>
      <c r="U35" s="31"/>
      <c r="V35" s="31"/>
      <c r="W35" s="31"/>
      <c r="X35" s="31"/>
      <c r="Y35" s="31"/>
      <c r="Z35" s="31"/>
    </row>
    <row r="36" spans="1:26" ht="17.100000000000001" customHeight="1" x14ac:dyDescent="0.25">
      <c r="A36" s="4">
        <v>35</v>
      </c>
      <c r="B36" s="5" t="s">
        <v>37</v>
      </c>
      <c r="C36" s="22">
        <v>8.0000000000000004E-4</v>
      </c>
      <c r="D36" s="22">
        <v>8.0000000000000004E-4</v>
      </c>
      <c r="E36" s="22">
        <v>8.0000000000000004E-4</v>
      </c>
      <c r="F36" s="22">
        <v>8.0000000000000004E-4</v>
      </c>
      <c r="G36" s="22">
        <v>8.0000000000000004E-4</v>
      </c>
      <c r="H36" s="22">
        <v>8.0000000000000004E-4</v>
      </c>
      <c r="I36" s="22">
        <v>8.0000000000000004E-4</v>
      </c>
      <c r="J36" s="22">
        <v>8.0000000000000004E-4</v>
      </c>
      <c r="K36" s="22">
        <v>8.0000000000000004E-4</v>
      </c>
      <c r="L36" s="22">
        <v>8.0000000000000004E-4</v>
      </c>
      <c r="M36" s="22">
        <v>8.0000000000000004E-4</v>
      </c>
      <c r="N36" s="22">
        <v>8.0000000000000004E-4</v>
      </c>
      <c r="O36" s="22">
        <v>8.0000000000000004E-4</v>
      </c>
      <c r="P36" s="22">
        <v>8.0000000000000004E-4</v>
      </c>
      <c r="Q36" s="22">
        <v>8.0000000000000004E-4</v>
      </c>
      <c r="R36" s="36">
        <f>Q36+Q37</f>
        <v>5.0000000000000001E-3</v>
      </c>
      <c r="S36" s="31"/>
      <c r="T36" s="31"/>
      <c r="U36" s="31"/>
      <c r="V36" s="31"/>
      <c r="W36" s="31"/>
      <c r="X36" s="31"/>
      <c r="Y36" s="31"/>
      <c r="Z36" s="31"/>
    </row>
    <row r="37" spans="1:26" ht="17.100000000000001" customHeight="1" x14ac:dyDescent="0.25">
      <c r="A37" s="4">
        <v>36</v>
      </c>
      <c r="B37" s="5" t="s">
        <v>39</v>
      </c>
      <c r="C37" s="22">
        <v>8.0000000000000004E-4</v>
      </c>
      <c r="D37" s="22">
        <v>8.0000000000000004E-4</v>
      </c>
      <c r="E37" s="22">
        <v>8.0000000000000004E-4</v>
      </c>
      <c r="F37" s="22">
        <v>8.0000000000000004E-4</v>
      </c>
      <c r="G37" s="22">
        <v>8.0000000000000004E-4</v>
      </c>
      <c r="H37" s="22">
        <v>8.0000000000000004E-4</v>
      </c>
      <c r="I37" s="22">
        <v>8.0000000000000004E-4</v>
      </c>
      <c r="J37" s="22">
        <v>8.0000000000000004E-4</v>
      </c>
      <c r="K37" s="22">
        <v>8.0000000000000004E-4</v>
      </c>
      <c r="L37" s="22">
        <v>8.0000000000000004E-4</v>
      </c>
      <c r="M37" s="22">
        <v>8.0000000000000004E-4</v>
      </c>
      <c r="N37" s="22">
        <v>8.0000000000000004E-4</v>
      </c>
      <c r="O37" s="22">
        <v>8.0000000000000004E-4</v>
      </c>
      <c r="P37" s="22">
        <v>8.0000000000000004E-4</v>
      </c>
      <c r="Q37" s="22">
        <f>P37+P38</f>
        <v>4.1999999999999997E-3</v>
      </c>
    </row>
    <row r="38" spans="1:26" ht="17.100000000000001" customHeight="1" x14ac:dyDescent="0.25">
      <c r="A38" s="4">
        <v>37</v>
      </c>
      <c r="B38" s="5">
        <v>1</v>
      </c>
      <c r="C38" s="22">
        <v>6.9999999999999999E-4</v>
      </c>
      <c r="D38" s="22">
        <v>6.9999999999999999E-4</v>
      </c>
      <c r="E38" s="22">
        <v>6.9999999999999999E-4</v>
      </c>
      <c r="F38" s="22">
        <v>6.9999999999999999E-4</v>
      </c>
      <c r="G38" s="22">
        <v>6.9999999999999999E-4</v>
      </c>
      <c r="H38" s="22">
        <v>6.9999999999999999E-4</v>
      </c>
      <c r="I38" s="35">
        <v>6.9999999999999999E-4</v>
      </c>
      <c r="J38" s="35">
        <v>6.9999999999999999E-4</v>
      </c>
      <c r="K38" s="35">
        <v>6.9999999999999999E-4</v>
      </c>
      <c r="L38" s="35">
        <v>6.9999999999999999E-4</v>
      </c>
      <c r="M38" s="35">
        <v>6.9999999999999999E-4</v>
      </c>
      <c r="N38" s="35">
        <v>6.9999999999999999E-4</v>
      </c>
      <c r="O38" s="35">
        <v>6.9999999999999999E-4</v>
      </c>
      <c r="P38" s="35">
        <f>O38+O39</f>
        <v>3.3999999999999998E-3</v>
      </c>
      <c r="Q38" s="31"/>
    </row>
    <row r="39" spans="1:26" ht="17.100000000000001" customHeight="1" x14ac:dyDescent="0.25">
      <c r="A39" s="4">
        <v>38</v>
      </c>
      <c r="B39" s="5">
        <v>9</v>
      </c>
      <c r="C39" s="22">
        <v>5.0000000000000001E-4</v>
      </c>
      <c r="D39" s="22">
        <v>5.0000000000000001E-4</v>
      </c>
      <c r="E39" s="22">
        <v>5.0000000000000001E-4</v>
      </c>
      <c r="F39" s="22">
        <v>5.0000000000000001E-4</v>
      </c>
      <c r="G39" s="22">
        <v>5.0000000000000001E-4</v>
      </c>
      <c r="H39" s="22">
        <v>5.0000000000000001E-4</v>
      </c>
      <c r="I39" s="35">
        <v>5.0000000000000001E-4</v>
      </c>
      <c r="J39" s="35">
        <v>5.0000000000000001E-4</v>
      </c>
      <c r="K39" s="35">
        <v>5.0000000000000001E-4</v>
      </c>
      <c r="L39" s="35">
        <v>5.0000000000000001E-4</v>
      </c>
      <c r="M39" s="35">
        <v>5.0000000000000001E-4</v>
      </c>
      <c r="N39" s="35">
        <v>5.0000000000000001E-4</v>
      </c>
      <c r="O39" s="35">
        <f>N39+N40</f>
        <v>2.6999999999999997E-3</v>
      </c>
      <c r="P39" s="31"/>
      <c r="Q39" s="31"/>
    </row>
    <row r="40" spans="1:26" ht="17.100000000000001" customHeight="1" x14ac:dyDescent="0.25">
      <c r="A40" s="4">
        <v>39</v>
      </c>
      <c r="B40" s="5" t="s">
        <v>38</v>
      </c>
      <c r="C40" s="22">
        <v>5.0000000000000001E-4</v>
      </c>
      <c r="D40" s="22">
        <v>5.0000000000000001E-4</v>
      </c>
      <c r="E40" s="22">
        <v>5.0000000000000001E-4</v>
      </c>
      <c r="F40" s="22">
        <v>5.0000000000000001E-4</v>
      </c>
      <c r="G40" s="22">
        <v>5.0000000000000001E-4</v>
      </c>
      <c r="H40" s="22">
        <v>5.0000000000000001E-4</v>
      </c>
      <c r="I40" s="22">
        <v>5.0000000000000001E-4</v>
      </c>
      <c r="J40" s="35">
        <v>5.0000000000000001E-4</v>
      </c>
      <c r="K40" s="35">
        <v>5.0000000000000001E-4</v>
      </c>
      <c r="L40" s="35">
        <v>5.0000000000000001E-4</v>
      </c>
      <c r="M40" s="35">
        <v>5.0000000000000001E-4</v>
      </c>
      <c r="N40" s="35">
        <f>M40+M41</f>
        <v>2.1999999999999997E-3</v>
      </c>
      <c r="O40" s="31"/>
      <c r="P40" s="31"/>
      <c r="Q40" s="31"/>
    </row>
    <row r="41" spans="1:26" ht="17.100000000000001" customHeight="1" x14ac:dyDescent="0.25">
      <c r="A41" s="4">
        <v>40</v>
      </c>
      <c r="B41" s="5" t="s">
        <v>8</v>
      </c>
      <c r="C41" s="22">
        <v>2.9999999999999997E-4</v>
      </c>
      <c r="D41" s="22">
        <v>2.9999999999999997E-4</v>
      </c>
      <c r="E41" s="22">
        <v>2.9999999999999997E-4</v>
      </c>
      <c r="F41" s="22">
        <v>2.9999999999999997E-4</v>
      </c>
      <c r="G41" s="22">
        <v>2.9999999999999997E-4</v>
      </c>
      <c r="H41" s="22">
        <v>2.9999999999999997E-4</v>
      </c>
      <c r="I41" s="22">
        <v>2.9999999999999997E-4</v>
      </c>
      <c r="J41" s="35">
        <v>2.9999999999999997E-4</v>
      </c>
      <c r="K41" s="35">
        <v>2.9999999999999997E-4</v>
      </c>
      <c r="L41" s="35">
        <v>2.9999999999999997E-4</v>
      </c>
      <c r="M41" s="35">
        <f>L41+L42</f>
        <v>1.6999999999999999E-3</v>
      </c>
      <c r="N41" s="31"/>
      <c r="O41" s="31"/>
      <c r="P41" s="31"/>
      <c r="Q41" s="31"/>
    </row>
    <row r="42" spans="1:26" ht="17.100000000000001" customHeight="1" x14ac:dyDescent="0.25">
      <c r="A42" s="4">
        <v>41</v>
      </c>
      <c r="B42" s="5">
        <v>2</v>
      </c>
      <c r="C42" s="22">
        <v>2.9999999999999997E-4</v>
      </c>
      <c r="D42" s="22">
        <v>2.9999999999999997E-4</v>
      </c>
      <c r="E42" s="22">
        <v>2.9999999999999997E-4</v>
      </c>
      <c r="F42" s="22">
        <v>2.9999999999999997E-4</v>
      </c>
      <c r="G42" s="22">
        <v>2.9999999999999997E-4</v>
      </c>
      <c r="H42" s="22">
        <v>2.9999999999999997E-4</v>
      </c>
      <c r="I42" s="22">
        <v>2.9999999999999997E-4</v>
      </c>
      <c r="J42" s="35">
        <v>2.9999999999999997E-4</v>
      </c>
      <c r="K42" s="35">
        <v>2.9999999999999997E-4</v>
      </c>
      <c r="L42" s="35">
        <f>K42+K43</f>
        <v>1.4E-3</v>
      </c>
      <c r="M42" s="31"/>
      <c r="N42" s="31"/>
      <c r="O42" s="31"/>
      <c r="P42" s="31"/>
      <c r="Q42" s="31"/>
    </row>
    <row r="43" spans="1:26" ht="17.100000000000001" customHeight="1" x14ac:dyDescent="0.25">
      <c r="A43" s="4">
        <v>42</v>
      </c>
      <c r="B43" s="5" t="s">
        <v>29</v>
      </c>
      <c r="C43" s="22">
        <v>2.0000000000000001E-4</v>
      </c>
      <c r="D43" s="22">
        <v>2.0000000000000001E-4</v>
      </c>
      <c r="E43" s="22">
        <v>2.0000000000000001E-4</v>
      </c>
      <c r="F43" s="22">
        <v>2.0000000000000001E-4</v>
      </c>
      <c r="G43" s="22">
        <v>2.0000000000000001E-4</v>
      </c>
      <c r="H43" s="22">
        <v>2.0000000000000001E-4</v>
      </c>
      <c r="I43" s="22">
        <v>2.0000000000000001E-4</v>
      </c>
      <c r="J43" s="35">
        <v>2.0000000000000001E-4</v>
      </c>
      <c r="K43" s="35">
        <f>J43+J44</f>
        <v>1.1000000000000001E-3</v>
      </c>
      <c r="L43" s="31"/>
      <c r="M43" s="31"/>
      <c r="N43" s="31"/>
      <c r="O43" s="31"/>
      <c r="P43" s="31"/>
      <c r="Q43" s="31"/>
    </row>
    <row r="44" spans="1:26" ht="17.100000000000001" customHeight="1" x14ac:dyDescent="0.25">
      <c r="A44" s="4">
        <v>43</v>
      </c>
      <c r="B44" s="5" t="s">
        <v>41</v>
      </c>
      <c r="C44" s="22">
        <v>2.0000000000000001E-4</v>
      </c>
      <c r="D44" s="22">
        <v>2.0000000000000001E-4</v>
      </c>
      <c r="E44" s="22">
        <v>2.0000000000000001E-4</v>
      </c>
      <c r="F44" s="22">
        <v>2.0000000000000001E-4</v>
      </c>
      <c r="G44" s="22">
        <v>2.0000000000000001E-4</v>
      </c>
      <c r="H44" s="22">
        <v>2.0000000000000001E-4</v>
      </c>
      <c r="I44" s="22">
        <v>2.0000000000000001E-4</v>
      </c>
      <c r="J44" s="35">
        <f>I44+I45</f>
        <v>9.0000000000000008E-4</v>
      </c>
      <c r="K44" s="31"/>
      <c r="L44" s="31"/>
      <c r="M44" s="31"/>
      <c r="N44" s="31"/>
      <c r="O44" s="31"/>
      <c r="P44" s="31"/>
      <c r="Q44" s="31"/>
    </row>
    <row r="45" spans="1:26" ht="17.100000000000001" customHeight="1" x14ac:dyDescent="0.25">
      <c r="A45" s="4">
        <v>44</v>
      </c>
      <c r="B45" s="5">
        <v>0</v>
      </c>
      <c r="C45" s="22">
        <v>1E-4</v>
      </c>
      <c r="D45" s="22">
        <v>1E-4</v>
      </c>
      <c r="E45" s="22">
        <v>1E-4</v>
      </c>
      <c r="F45" s="22">
        <v>1E-4</v>
      </c>
      <c r="G45" s="22">
        <v>1E-4</v>
      </c>
      <c r="H45" s="22">
        <v>1E-4</v>
      </c>
      <c r="I45" s="22">
        <f>H45+H46</f>
        <v>7.000000000000001E-4</v>
      </c>
      <c r="J45" s="31"/>
      <c r="K45" s="31"/>
      <c r="L45" s="31"/>
      <c r="M45" s="31"/>
      <c r="N45" s="31"/>
      <c r="O45" s="31"/>
      <c r="P45" s="31"/>
      <c r="Q45" s="31"/>
      <c r="R45" s="33"/>
    </row>
    <row r="46" spans="1:26" ht="17.100000000000001" customHeight="1" x14ac:dyDescent="0.25">
      <c r="A46" s="4">
        <v>45</v>
      </c>
      <c r="B46" s="5">
        <v>3</v>
      </c>
      <c r="C46" s="22">
        <v>1E-4</v>
      </c>
      <c r="D46" s="22">
        <v>1E-4</v>
      </c>
      <c r="E46" s="22">
        <v>1E-4</v>
      </c>
      <c r="F46" s="22">
        <v>1E-4</v>
      </c>
      <c r="G46" s="22">
        <v>1E-4</v>
      </c>
      <c r="H46" s="22">
        <f>G46+G47</f>
        <v>6.0000000000000006E-4</v>
      </c>
      <c r="I46" s="31"/>
      <c r="J46" s="31"/>
      <c r="K46" s="31"/>
      <c r="L46" s="31"/>
      <c r="M46" s="31"/>
      <c r="N46" s="31"/>
      <c r="O46" s="31"/>
      <c r="P46" s="31"/>
      <c r="Q46" s="31"/>
      <c r="R46" s="33"/>
    </row>
    <row r="47" spans="1:26" ht="17.100000000000001" customHeight="1" x14ac:dyDescent="0.25">
      <c r="A47" s="4">
        <v>46</v>
      </c>
      <c r="B47" s="5">
        <v>4</v>
      </c>
      <c r="C47" s="22">
        <v>1E-4</v>
      </c>
      <c r="D47" s="22">
        <v>1E-4</v>
      </c>
      <c r="E47" s="22">
        <v>1E-4</v>
      </c>
      <c r="F47" s="22">
        <v>1E-4</v>
      </c>
      <c r="G47" s="22">
        <f>F47+F48</f>
        <v>5.0000000000000001E-4</v>
      </c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3"/>
    </row>
    <row r="48" spans="1:26" ht="17.100000000000001" customHeight="1" x14ac:dyDescent="0.25">
      <c r="A48" s="4">
        <v>47</v>
      </c>
      <c r="B48" s="5">
        <v>5</v>
      </c>
      <c r="C48" s="22">
        <v>1E-4</v>
      </c>
      <c r="D48" s="22">
        <v>1E-4</v>
      </c>
      <c r="E48" s="22">
        <v>1E-4</v>
      </c>
      <c r="F48" s="22">
        <f>E48+E49</f>
        <v>4.0000000000000002E-4</v>
      </c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</row>
    <row r="49" spans="1:17" ht="17.100000000000001" customHeight="1" x14ac:dyDescent="0.25">
      <c r="A49" s="4">
        <v>48</v>
      </c>
      <c r="B49" s="5">
        <v>6</v>
      </c>
      <c r="C49" s="22">
        <v>1E-4</v>
      </c>
      <c r="D49" s="22">
        <v>1E-4</v>
      </c>
      <c r="E49" s="22">
        <f>D49+D50</f>
        <v>3.0000000000000003E-4</v>
      </c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</row>
    <row r="50" spans="1:17" ht="17.100000000000001" customHeight="1" x14ac:dyDescent="0.25">
      <c r="A50" s="4">
        <v>49</v>
      </c>
      <c r="B50" s="5">
        <v>7</v>
      </c>
      <c r="C50" s="22">
        <v>1E-4</v>
      </c>
      <c r="D50" s="6">
        <f>C50+C51</f>
        <v>2.0000000000000001E-4</v>
      </c>
    </row>
    <row r="51" spans="1:17" ht="17.100000000000001" customHeight="1" x14ac:dyDescent="0.25">
      <c r="A51" s="4">
        <v>50</v>
      </c>
      <c r="B51" s="5">
        <v>8</v>
      </c>
      <c r="C51" s="22">
        <v>1E-4</v>
      </c>
    </row>
    <row r="52" spans="1:17" ht="15" customHeight="1" x14ac:dyDescent="0.25">
      <c r="B52" s="44"/>
      <c r="C52" s="44"/>
    </row>
    <row r="53" spans="1:17" ht="15" customHeight="1" x14ac:dyDescent="0.25">
      <c r="B53" s="42"/>
      <c r="C53" s="42"/>
    </row>
    <row r="55" spans="1:17" ht="15" customHeight="1" x14ac:dyDescent="0.25">
      <c r="A55" s="15" t="s">
        <v>54</v>
      </c>
      <c r="B55" s="16"/>
      <c r="C55" s="14">
        <v>4.5004949999999999</v>
      </c>
    </row>
    <row r="56" spans="1:17" ht="15" customHeight="1" x14ac:dyDescent="0.25">
      <c r="A56" t="s">
        <v>115</v>
      </c>
      <c r="C56" s="17">
        <v>4.5475000000000003</v>
      </c>
    </row>
  </sheetData>
  <mergeCells count="2">
    <mergeCell ref="B52:C52"/>
    <mergeCell ref="B53:C53"/>
  </mergeCells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Лаб4_1</vt:lpstr>
      <vt:lpstr>Лаб4_2</vt:lpstr>
      <vt:lpstr>Лаб4_3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Печерский Игорь Александрович</dc:creator>
  <cp:lastModifiedBy>user</cp:lastModifiedBy>
  <dcterms:created xsi:type="dcterms:W3CDTF">2022-11-17T07:45:36Z</dcterms:created>
  <dcterms:modified xsi:type="dcterms:W3CDTF">2022-12-05T09:40:52Z</dcterms:modified>
</cp:coreProperties>
</file>