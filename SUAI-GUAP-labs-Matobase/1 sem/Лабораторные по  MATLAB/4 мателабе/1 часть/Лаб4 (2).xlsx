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Папочка студента (получается так) не удалять ни при каких обстоятельствах\Лабораторные по  MATLAB\4 мателабе\1 часть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M2" i="1" l="1"/>
  <c r="L3" i="1"/>
  <c r="M3" i="1" s="1"/>
  <c r="L2" i="1"/>
  <c r="J2" i="1"/>
  <c r="J7" i="1" l="1"/>
  <c r="K3" i="1"/>
  <c r="K2" i="1" l="1"/>
  <c r="G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2" i="1" l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D52" i="1"/>
  <c r="E6" i="1" s="1"/>
  <c r="F6" i="1" s="1"/>
  <c r="E49" i="1" l="1"/>
  <c r="E37" i="1"/>
  <c r="E25" i="1"/>
  <c r="E9" i="1"/>
  <c r="F9" i="1" s="1"/>
  <c r="E2" i="1"/>
  <c r="F2" i="1" s="1"/>
  <c r="E48" i="1"/>
  <c r="E44" i="1"/>
  <c r="E40" i="1"/>
  <c r="E36" i="1"/>
  <c r="E32" i="1"/>
  <c r="E28" i="1"/>
  <c r="E24" i="1"/>
  <c r="E20" i="1"/>
  <c r="E16" i="1"/>
  <c r="E12" i="1"/>
  <c r="E8" i="1"/>
  <c r="F8" i="1" s="1"/>
  <c r="E4" i="1"/>
  <c r="F4" i="1" s="1"/>
  <c r="E41" i="1"/>
  <c r="E29" i="1"/>
  <c r="E13" i="1"/>
  <c r="E51" i="1"/>
  <c r="E47" i="1"/>
  <c r="E43" i="1"/>
  <c r="E39" i="1"/>
  <c r="E35" i="1"/>
  <c r="E31" i="1"/>
  <c r="E27" i="1"/>
  <c r="E23" i="1"/>
  <c r="E19" i="1"/>
  <c r="E15" i="1"/>
  <c r="E11" i="1"/>
  <c r="E7" i="1"/>
  <c r="F7" i="1" s="1"/>
  <c r="E3" i="1"/>
  <c r="F3" i="1" s="1"/>
  <c r="E45" i="1"/>
  <c r="E33" i="1"/>
  <c r="E21" i="1"/>
  <c r="E17" i="1"/>
  <c r="E5" i="1"/>
  <c r="F5" i="1" s="1"/>
  <c r="E50" i="1"/>
  <c r="E46" i="1"/>
  <c r="E42" i="1"/>
  <c r="E38" i="1"/>
  <c r="E34" i="1"/>
  <c r="E30" i="1"/>
  <c r="E26" i="1"/>
  <c r="E22" i="1"/>
  <c r="E18" i="1"/>
  <c r="E14" i="1"/>
  <c r="E10" i="1"/>
  <c r="F10" i="1" s="1"/>
  <c r="C43" i="1"/>
  <c r="C44" i="1"/>
  <c r="C45" i="1"/>
  <c r="C46" i="1"/>
  <c r="C47" i="1"/>
  <c r="C48" i="1"/>
  <c r="C49" i="1"/>
  <c r="C50" i="1"/>
  <c r="C51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<sst xmlns="http://schemas.openxmlformats.org/spreadsheetml/2006/main" count="56" uniqueCount="56">
  <si>
    <t>№ п/п</t>
  </si>
  <si>
    <t>Символ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</si>
  <si>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</si>
  <si>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</si>
  <si>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</si>
  <si>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</si>
  <si>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</si>
  <si>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</si>
  <si>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</si>
  <si>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</si>
  <si>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</si>
  <si>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</si>
  <si>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</si>
  <si>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</si>
  <si>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</si>
  <si>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</si>
  <si>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</si>
  <si>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</si>
  <si>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</si>
  <si>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</si>
  <si>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</si>
  <si>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</si>
  <si>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</si>
  <si>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</si>
  <si>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</si>
  <si>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</si>
  <si>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</si>
  <si>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</si>
  <si>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</si>
  <si>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</si>
  <si>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</si>
  <si>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</si>
  <si>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</si>
  <si>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</si>
  <si>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</si>
  <si>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.</t>
  </si>
  <si>
    <t>,</t>
  </si>
  <si>
    <t>:</t>
  </si>
  <si>
    <t>;</t>
  </si>
  <si>
    <t>-</t>
  </si>
  <si>
    <t xml:space="preserve"> </t>
  </si>
  <si>
    <t>(</t>
  </si>
  <si>
    <t>Код символа</t>
  </si>
  <si>
    <t>Число вхождений символа в текст</t>
  </si>
  <si>
    <r>
      <t>Вероятность вхождения символа (P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)</t>
    </r>
  </si>
  <si>
    <r>
      <t>I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</si>
  <si>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всего символов в тексте (К)</t>
  </si>
  <si>
    <t>При кодировании ASCII</t>
  </si>
  <si>
    <t>При использовании меры Хартли</t>
  </si>
  <si>
    <t>Разрядность кода</t>
  </si>
  <si>
    <t>Абсолюточная избыточность</t>
  </si>
  <si>
    <t>Относительная избыточность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</si>
  <si>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*I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</si>
  <si>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H (энтропия)</t>
  </si>
  <si>
    <t>кол-во слов</t>
  </si>
  <si>
    <t>Неопреде- ленность Hmax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</si>
</sst>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Fill="1" applyBorder="1" applyAlignment="1">
      <alignment horizontal="center" vertical="center" wrapText="1"/>
    </xf>
    <xf numFmtId="49" fontId="0" fillId="0" borderId="0" xfId="0" applyNumberFormat="1"/>
    <xf numFmtId="0" fontId="2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1" xfId="0" applyFill="1" applyBorder="1"/>
    <xf numFmtId="0" fontId="2" fillId="0" borderId="1" xfId="0" applyFont="1" applyBorder="1"/>
    <xf numFmtId="49" fontId="0" fillId="0" borderId="1" xfId="0" applyNumberFormat="1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topLeftCell="E1" workbookViewId="0">
      <selection activeCell="M3" sqref="M3"/>
    </sheetView>
  </sheetViews>
  <sheetFormatPr defaultRowHeight="15" x14ac:dyDescent="0.25"/>
  <cols>
    <col min="2" max="2" width="9.140625" style="1"/>
    <col min="4" max="4" width="14.85546875" customWidth="1"/>
    <col min="5" max="5" width="16.28515625" customWidth="1"/>
    <col min="6" max="6" width="19.5703125" customWidth="1"/>
    <col min="9" max="9" width="32" bestFit="1" customWidth="1"/>
    <col min="10" max="10" width="13.85546875" customWidth="1"/>
    <col min="11" max="11" width="16" bestFit="1" customWidth="1"/>
    <col min="12" max="12" width="14.85546875" customWidth="1"/>
    <col min="13" max="13" width="15.5703125" customWidth="1"/>
  </cols>
  <sheetData>
    <row r="1" spans="1:13" ht="60" x14ac:dyDescent="0.25">
      <c r="A1" s="2" t="s">
        <v>0</v>
      </c>
      <c r="B1" s="2" t="s">
        <v>1</v>
      </c>
      <c r="C1" s="3" t="s">
        <v>42</v>
      </c>
      <c r="D1" s="10" t="s">
        <v>43</v>
      </c>
      <c r="E1" s="3" t="s">
        <v>44</v>
      </c>
      <c r="F1" s="3" t="s">
        <v>45</v>
      </c>
      <c r="G1" s="7" t="s">
        <v>52</v>
      </c>
      <c r="I1" s="4"/>
      <c r="J1" s="3" t="s">
        <v>55</v>
      </c>
      <c r="K1" s="3" t="s">
        <v>49</v>
      </c>
      <c r="L1" s="3" t="s">
        <v>50</v>
      </c>
      <c r="M1" s="3" t="s">
        <v>51</v>
      </c>
    </row>
    <row r="2" spans="1:13" x14ac:dyDescent="0.25">
      <c r="A2" s="4">
        <v>1</v>
      </c>
      <c r="B2" s="5">
        <v>0</v>
      </c>
      <c r="C2" s="4">
        <f>CODE(B2)</f>
        <v>48</v>
      </c>
      <c r="D2" s="11">
        <v>1</v>
      </c>
      <c r="E2" s="6">
        <f>D2/$D$52</f>
        <v>5.7544021176199794E-5</v>
      </c>
      <c r="F2" s="4">
        <f>-LOG(E2,2)</f>
        <v>14.084974434307497</v>
      </c>
      <c r="G2" s="4">
        <f>E2*F2</f>
        <v>8.1050606711402333E-4</v>
      </c>
      <c r="I2" s="4" t="s">
        <v>47</v>
      </c>
      <c r="J2" s="4">
        <f>LOG(256,2)</f>
        <v>8</v>
      </c>
      <c r="K2" s="4">
        <f>ROUNDUP(J2,0)</f>
        <v>8</v>
      </c>
      <c r="L2" s="4">
        <f>J2-J7</f>
        <v>3.4995052232863255</v>
      </c>
      <c r="M2" s="4">
        <f>L2/J2</f>
        <v>0.43743815291079069</v>
      </c>
    </row>
    <row r="3" spans="1:13" x14ac:dyDescent="0.25">
      <c r="A3" s="4">
        <v>2</v>
      </c>
      <c r="B3" s="5">
        <v>1</v>
      </c>
      <c r="C3" s="4">
        <f t="shared" ref="C3:C51" si="0">CODE(B3)</f>
        <v>49</v>
      </c>
      <c r="D3" s="11">
        <v>13</v>
      </c>
      <c r="E3" s="6">
        <f t="shared" ref="E3:E51" si="1">D3/$D$52</f>
        <v>7.480722752905973E-4</v>
      </c>
      <c r="F3" s="4">
        <f t="shared" ref="F3:F51" si="2">-LOG(E3,2)</f>
        <v>10.384534716166405</v>
      </c>
      <c r="G3" s="4">
        <f t="shared" ref="G3:G51" si="3">E3*F3</f>
        <v>7.7683825129567993E-3</v>
      </c>
      <c r="I3" s="4" t="s">
        <v>48</v>
      </c>
      <c r="J3" s="4">
        <f>LOG(50,2)</f>
        <v>5.6438561897747244</v>
      </c>
      <c r="K3" s="4">
        <f>ROUNDUP(J3,0)</f>
        <v>6</v>
      </c>
      <c r="L3" s="4">
        <f>J3-J7</f>
        <v>1.1433614130610499</v>
      </c>
      <c r="M3" s="4">
        <f>L3/J3</f>
        <v>0.2025851429617464</v>
      </c>
    </row>
    <row r="4" spans="1:13" x14ac:dyDescent="0.25">
      <c r="A4" s="4">
        <v>3</v>
      </c>
      <c r="B4" s="5">
        <v>2</v>
      </c>
      <c r="C4" s="4">
        <f t="shared" si="0"/>
        <v>50</v>
      </c>
      <c r="D4" s="11">
        <v>5</v>
      </c>
      <c r="E4" s="6">
        <f t="shared" si="1"/>
        <v>2.8772010588099895E-4</v>
      </c>
      <c r="F4" s="4">
        <f t="shared" si="2"/>
        <v>11.763046339420134</v>
      </c>
      <c r="G4" s="4">
        <f t="shared" si="3"/>
        <v>3.384464938261058E-3</v>
      </c>
      <c r="I4" s="4"/>
      <c r="J4" s="4"/>
      <c r="K4" s="4"/>
      <c r="L4" s="4"/>
      <c r="M4" s="4"/>
    </row>
    <row r="5" spans="1:13" x14ac:dyDescent="0.25">
      <c r="A5" s="4">
        <v>4</v>
      </c>
      <c r="B5" s="5">
        <v>3</v>
      </c>
      <c r="C5" s="4">
        <f t="shared" si="0"/>
        <v>51</v>
      </c>
      <c r="D5" s="11">
        <v>1</v>
      </c>
      <c r="E5" s="6">
        <f t="shared" si="1"/>
        <v>5.7544021176199794E-5</v>
      </c>
      <c r="F5" s="4">
        <f t="shared" si="2"/>
        <v>14.084974434307497</v>
      </c>
      <c r="G5" s="4">
        <f t="shared" si="3"/>
        <v>8.1050606711402333E-4</v>
      </c>
      <c r="I5" s="4"/>
      <c r="J5" s="4"/>
      <c r="K5" s="4"/>
      <c r="L5" s="4"/>
      <c r="M5" s="4"/>
    </row>
    <row r="6" spans="1:13" ht="15.75" x14ac:dyDescent="0.25">
      <c r="A6" s="4">
        <v>5</v>
      </c>
      <c r="B6" s="5">
        <v>4</v>
      </c>
      <c r="C6" s="4">
        <f t="shared" si="0"/>
        <v>52</v>
      </c>
      <c r="D6" s="11">
        <v>1</v>
      </c>
      <c r="E6" s="6">
        <f t="shared" si="1"/>
        <v>5.7544021176199794E-5</v>
      </c>
      <c r="F6" s="4">
        <f t="shared" si="2"/>
        <v>14.084974434307497</v>
      </c>
      <c r="G6" s="4">
        <f t="shared" si="3"/>
        <v>8.1050606711402333E-4</v>
      </c>
      <c r="I6" s="13"/>
      <c r="J6" s="4"/>
      <c r="K6" s="4"/>
      <c r="L6" s="4"/>
      <c r="M6" s="4"/>
    </row>
    <row r="7" spans="1:13" x14ac:dyDescent="0.25">
      <c r="A7" s="4">
        <v>6</v>
      </c>
      <c r="B7" s="5">
        <v>5</v>
      </c>
      <c r="C7" s="4">
        <f t="shared" si="0"/>
        <v>53</v>
      </c>
      <c r="D7" s="11">
        <v>1</v>
      </c>
      <c r="E7" s="6">
        <f t="shared" si="1"/>
        <v>5.7544021176199794E-5</v>
      </c>
      <c r="F7" s="4">
        <f t="shared" si="2"/>
        <v>14.084974434307497</v>
      </c>
      <c r="G7" s="4">
        <f t="shared" si="3"/>
        <v>8.1050606711402333E-4</v>
      </c>
      <c r="I7" s="4" t="s">
        <v>53</v>
      </c>
      <c r="J7" s="4">
        <f>G52</f>
        <v>4.5004947767136745</v>
      </c>
      <c r="K7" s="14"/>
      <c r="L7" s="4"/>
      <c r="M7" s="4"/>
    </row>
    <row r="8" spans="1:13" x14ac:dyDescent="0.25">
      <c r="A8" s="4">
        <v>7</v>
      </c>
      <c r="B8" s="5">
        <v>6</v>
      </c>
      <c r="C8" s="4">
        <f t="shared" si="0"/>
        <v>54</v>
      </c>
      <c r="D8" s="11">
        <v>1</v>
      </c>
      <c r="E8" s="6">
        <f t="shared" si="1"/>
        <v>5.7544021176199794E-5</v>
      </c>
      <c r="F8" s="4">
        <f t="shared" si="2"/>
        <v>14.084974434307497</v>
      </c>
      <c r="G8" s="4">
        <f t="shared" si="3"/>
        <v>8.1050606711402333E-4</v>
      </c>
      <c r="K8" s="8"/>
    </row>
    <row r="9" spans="1:13" x14ac:dyDescent="0.25">
      <c r="A9" s="4">
        <v>8</v>
      </c>
      <c r="B9" s="5">
        <v>7</v>
      </c>
      <c r="C9" s="4">
        <f t="shared" si="0"/>
        <v>55</v>
      </c>
      <c r="D9" s="11">
        <v>1</v>
      </c>
      <c r="E9" s="6">
        <f t="shared" si="1"/>
        <v>5.7544021176199794E-5</v>
      </c>
      <c r="F9" s="4">
        <f t="shared" si="2"/>
        <v>14.084974434307497</v>
      </c>
      <c r="G9" s="4">
        <f t="shared" si="3"/>
        <v>8.1050606711402333E-4</v>
      </c>
      <c r="K9" s="8"/>
    </row>
    <row r="10" spans="1:13" x14ac:dyDescent="0.25">
      <c r="A10" s="4">
        <v>9</v>
      </c>
      <c r="B10" s="5">
        <v>8</v>
      </c>
      <c r="C10" s="4">
        <f t="shared" si="0"/>
        <v>56</v>
      </c>
      <c r="D10" s="11">
        <v>1</v>
      </c>
      <c r="E10" s="6">
        <f t="shared" si="1"/>
        <v>5.7544021176199794E-5</v>
      </c>
      <c r="F10" s="4">
        <f t="shared" si="2"/>
        <v>14.084974434307497</v>
      </c>
      <c r="G10" s="4">
        <f t="shared" si="3"/>
        <v>8.1050606711402333E-4</v>
      </c>
      <c r="K10" s="8"/>
    </row>
    <row r="11" spans="1:13" x14ac:dyDescent="0.25">
      <c r="A11" s="4">
        <v>10</v>
      </c>
      <c r="B11" s="5">
        <v>9</v>
      </c>
      <c r="C11" s="4">
        <f t="shared" si="0"/>
        <v>57</v>
      </c>
      <c r="D11" s="11">
        <v>9</v>
      </c>
      <c r="E11" s="6">
        <f t="shared" si="1"/>
        <v>5.1789619058579812E-4</v>
      </c>
      <c r="F11" s="4">
        <f t="shared" si="2"/>
        <v>10.915049432865183</v>
      </c>
      <c r="G11" s="4">
        <f t="shared" si="3"/>
        <v>5.6528625213365545E-3</v>
      </c>
      <c r="K11" s="8"/>
    </row>
    <row r="12" spans="1:13" ht="15.75" x14ac:dyDescent="0.25">
      <c r="A12" s="4">
        <v>11</v>
      </c>
      <c r="B12" s="5" t="s">
        <v>2</v>
      </c>
      <c r="C12" s="4">
        <f t="shared" si="0"/>
        <v>224</v>
      </c>
      <c r="D12" s="11">
        <v>1178</v>
      </c>
      <c r="E12" s="6">
        <f t="shared" si="1"/>
        <v>6.7786856945563356E-2</v>
      </c>
      <c r="F12" s="4">
        <f t="shared" si="2"/>
        <v>3.8828506104770351</v>
      </c>
      <c r="G12" s="4">
        <f t="shared" si="3"/>
        <v>0.26320623887340011</v>
      </c>
      <c r="I12" s="9"/>
      <c r="K12" s="8"/>
    </row>
    <row r="13" spans="1:13" x14ac:dyDescent="0.25">
      <c r="A13" s="4">
        <v>12</v>
      </c>
      <c r="B13" s="5" t="s">
        <v>3</v>
      </c>
      <c r="C13" s="4">
        <f t="shared" si="0"/>
        <v>225</v>
      </c>
      <c r="D13" s="11">
        <v>226</v>
      </c>
      <c r="E13" s="6">
        <f t="shared" si="1"/>
        <v>1.3004948785821153E-2</v>
      </c>
      <c r="F13" s="4">
        <f t="shared" si="2"/>
        <v>6.2647954718923087</v>
      </c>
      <c r="G13" s="4">
        <f t="shared" si="3"/>
        <v>8.1473344265603737E-2</v>
      </c>
      <c r="K13" s="8"/>
    </row>
    <row r="14" spans="1:13" x14ac:dyDescent="0.25">
      <c r="A14" s="4">
        <v>13</v>
      </c>
      <c r="B14" s="5" t="s">
        <v>4</v>
      </c>
      <c r="C14" s="4">
        <f t="shared" si="0"/>
        <v>226</v>
      </c>
      <c r="D14" s="11">
        <v>573</v>
      </c>
      <c r="E14" s="6">
        <f t="shared" si="1"/>
        <v>3.2972724133962482E-2</v>
      </c>
      <c r="F14" s="4">
        <f t="shared" si="2"/>
        <v>4.9225831055505909</v>
      </c>
      <c r="G14" s="4">
        <f t="shared" si="3"/>
        <v>0.16231097476582396</v>
      </c>
      <c r="K14" s="8"/>
    </row>
    <row r="15" spans="1:13" x14ac:dyDescent="0.25">
      <c r="A15" s="4">
        <v>14</v>
      </c>
      <c r="B15" s="5" t="s">
        <v>5</v>
      </c>
      <c r="C15" s="4">
        <f t="shared" si="0"/>
        <v>227</v>
      </c>
      <c r="D15" s="11">
        <v>243</v>
      </c>
      <c r="E15" s="6">
        <f t="shared" si="1"/>
        <v>1.3983197145816549E-2</v>
      </c>
      <c r="F15" s="4">
        <f t="shared" si="2"/>
        <v>6.1601619307017152</v>
      </c>
      <c r="G15" s="4">
        <f t="shared" si="3"/>
        <v>8.6138758727155984E-2</v>
      </c>
      <c r="K15" s="8"/>
    </row>
    <row r="16" spans="1:13" x14ac:dyDescent="0.25">
      <c r="A16" s="4">
        <v>15</v>
      </c>
      <c r="B16" s="5" t="s">
        <v>6</v>
      </c>
      <c r="C16" s="4">
        <f t="shared" si="0"/>
        <v>228</v>
      </c>
      <c r="D16" s="11">
        <v>435</v>
      </c>
      <c r="E16" s="6">
        <f t="shared" si="1"/>
        <v>2.5031649211646911E-2</v>
      </c>
      <c r="F16" s="4">
        <f t="shared" si="2"/>
        <v>5.3201028435714051</v>
      </c>
      <c r="G16" s="4">
        <f t="shared" si="3"/>
        <v>0.13317094815016464</v>
      </c>
      <c r="K16" s="8"/>
    </row>
    <row r="17" spans="1:7" x14ac:dyDescent="0.25">
      <c r="A17" s="4">
        <v>16</v>
      </c>
      <c r="B17" s="5" t="s">
        <v>7</v>
      </c>
      <c r="C17" s="4">
        <f t="shared" si="0"/>
        <v>229</v>
      </c>
      <c r="D17" s="11">
        <v>1128</v>
      </c>
      <c r="E17" s="6">
        <f t="shared" si="1"/>
        <v>6.4909655886753362E-2</v>
      </c>
      <c r="F17" s="4">
        <f t="shared" si="2"/>
        <v>3.9454230819087028</v>
      </c>
      <c r="G17" s="4">
        <f t="shared" si="3"/>
        <v>0.25609605457434781</v>
      </c>
    </row>
    <row r="18" spans="1:7" x14ac:dyDescent="0.25">
      <c r="A18" s="4">
        <v>17</v>
      </c>
      <c r="B18" s="5" t="s">
        <v>8</v>
      </c>
      <c r="C18" s="4">
        <f t="shared" si="0"/>
        <v>184</v>
      </c>
      <c r="D18" s="11">
        <v>6</v>
      </c>
      <c r="E18" s="6">
        <f t="shared" si="1"/>
        <v>3.4526412705719877E-4</v>
      </c>
      <c r="F18" s="4">
        <f t="shared" si="2"/>
        <v>11.50001193358634</v>
      </c>
      <c r="G18" s="4">
        <f t="shared" si="3"/>
        <v>3.9705415813970557E-3</v>
      </c>
    </row>
    <row r="19" spans="1:7" x14ac:dyDescent="0.25">
      <c r="A19" s="4">
        <v>18</v>
      </c>
      <c r="B19" s="5" t="s">
        <v>9</v>
      </c>
      <c r="C19" s="4">
        <f t="shared" si="0"/>
        <v>230</v>
      </c>
      <c r="D19" s="11">
        <v>135</v>
      </c>
      <c r="E19" s="6">
        <f t="shared" si="1"/>
        <v>7.7684428587869716E-3</v>
      </c>
      <c r="F19" s="4">
        <f t="shared" si="2"/>
        <v>7.0081588372566657</v>
      </c>
      <c r="G19" s="4">
        <f t="shared" si="3"/>
        <v>5.4442481472531348E-2</v>
      </c>
    </row>
    <row r="20" spans="1:7" x14ac:dyDescent="0.25">
      <c r="A20" s="4">
        <v>19</v>
      </c>
      <c r="B20" s="5" t="s">
        <v>10</v>
      </c>
      <c r="C20" s="4">
        <f t="shared" si="0"/>
        <v>231</v>
      </c>
      <c r="D20" s="11">
        <v>216</v>
      </c>
      <c r="E20" s="6">
        <f t="shared" si="1"/>
        <v>1.2429508574059155E-2</v>
      </c>
      <c r="F20" s="4">
        <f t="shared" si="2"/>
        <v>6.3300869321440283</v>
      </c>
      <c r="G20" s="4">
        <f t="shared" si="3"/>
        <v>7.8679869797624008E-2</v>
      </c>
    </row>
    <row r="21" spans="1:7" x14ac:dyDescent="0.25">
      <c r="A21" s="4">
        <v>20</v>
      </c>
      <c r="B21" s="5" t="s">
        <v>11</v>
      </c>
      <c r="C21" s="4">
        <f t="shared" si="0"/>
        <v>232</v>
      </c>
      <c r="D21" s="11">
        <v>839</v>
      </c>
      <c r="E21" s="6">
        <f t="shared" si="1"/>
        <v>4.827943376683163E-2</v>
      </c>
      <c r="F21" s="4">
        <f t="shared" si="2"/>
        <v>4.3724474338676727</v>
      </c>
      <c r="G21" s="4">
        <f t="shared" si="3"/>
        <v>0.21109928628236721</v>
      </c>
    </row>
    <row r="22" spans="1:7" x14ac:dyDescent="0.25">
      <c r="A22" s="4">
        <v>21</v>
      </c>
      <c r="B22" s="5" t="s">
        <v>12</v>
      </c>
      <c r="C22" s="4">
        <f t="shared" si="0"/>
        <v>233</v>
      </c>
      <c r="D22" s="11">
        <v>146</v>
      </c>
      <c r="E22" s="6">
        <f t="shared" si="1"/>
        <v>8.4014270917251704E-3</v>
      </c>
      <c r="F22" s="4">
        <f t="shared" si="2"/>
        <v>6.8951498754274789</v>
      </c>
      <c r="G22" s="4">
        <f t="shared" si="3"/>
        <v>5.7929098964921856E-2</v>
      </c>
    </row>
    <row r="23" spans="1:7" x14ac:dyDescent="0.25">
      <c r="A23" s="4">
        <v>22</v>
      </c>
      <c r="B23" s="5" t="s">
        <v>13</v>
      </c>
      <c r="C23" s="4">
        <f t="shared" si="0"/>
        <v>234</v>
      </c>
      <c r="D23" s="11">
        <v>488</v>
      </c>
      <c r="E23" s="6">
        <f t="shared" si="1"/>
        <v>2.80814823339855E-2</v>
      </c>
      <c r="F23" s="4">
        <f t="shared" si="2"/>
        <v>5.1542370967446089</v>
      </c>
      <c r="G23" s="4">
        <f t="shared" si="3"/>
        <v>0.14473861797740645</v>
      </c>
    </row>
    <row r="24" spans="1:7" x14ac:dyDescent="0.25">
      <c r="A24" s="4">
        <v>23</v>
      </c>
      <c r="B24" s="5" t="s">
        <v>14</v>
      </c>
      <c r="C24" s="4">
        <f t="shared" si="0"/>
        <v>235</v>
      </c>
      <c r="D24" s="11">
        <v>789</v>
      </c>
      <c r="E24" s="6">
        <f t="shared" si="1"/>
        <v>4.5402232708021635E-2</v>
      </c>
      <c r="F24" s="4">
        <f t="shared" si="2"/>
        <v>4.4610929442940375</v>
      </c>
      <c r="G24" s="4">
        <f t="shared" si="3"/>
        <v>0.20254357998895128</v>
      </c>
    </row>
    <row r="25" spans="1:7" x14ac:dyDescent="0.25">
      <c r="A25" s="4">
        <v>24</v>
      </c>
      <c r="B25" s="5" t="s">
        <v>15</v>
      </c>
      <c r="C25" s="4">
        <f t="shared" si="0"/>
        <v>236</v>
      </c>
      <c r="D25" s="11">
        <v>471</v>
      </c>
      <c r="E25" s="6">
        <f t="shared" si="1"/>
        <v>2.7103233973990101E-2</v>
      </c>
      <c r="F25" s="4">
        <f t="shared" si="2"/>
        <v>5.2053911846947134</v>
      </c>
      <c r="G25" s="4">
        <f t="shared" si="3"/>
        <v>0.14108293520492635</v>
      </c>
    </row>
    <row r="26" spans="1:7" x14ac:dyDescent="0.25">
      <c r="A26" s="4">
        <v>25</v>
      </c>
      <c r="B26" s="5" t="s">
        <v>16</v>
      </c>
      <c r="C26" s="4">
        <f t="shared" si="0"/>
        <v>237</v>
      </c>
      <c r="D26" s="11">
        <v>937</v>
      </c>
      <c r="E26" s="6">
        <f t="shared" si="1"/>
        <v>5.3918747842099206E-2</v>
      </c>
      <c r="F26" s="4">
        <f t="shared" si="2"/>
        <v>4.2130691966483091</v>
      </c>
      <c r="G26" s="4">
        <f t="shared" si="3"/>
        <v>0.22716341565539566</v>
      </c>
    </row>
    <row r="27" spans="1:7" x14ac:dyDescent="0.25">
      <c r="A27" s="4">
        <v>26</v>
      </c>
      <c r="B27" s="5" t="s">
        <v>17</v>
      </c>
      <c r="C27" s="4">
        <f t="shared" si="0"/>
        <v>238</v>
      </c>
      <c r="D27" s="11">
        <v>1603</v>
      </c>
      <c r="E27" s="6">
        <f t="shared" si="1"/>
        <v>9.2243065945448274E-2</v>
      </c>
      <c r="F27" s="4">
        <f t="shared" si="2"/>
        <v>3.4384157241529474</v>
      </c>
      <c r="G27" s="4">
        <f t="shared" si="3"/>
        <v>0.31717000839090659</v>
      </c>
    </row>
    <row r="28" spans="1:7" x14ac:dyDescent="0.25">
      <c r="A28" s="4">
        <v>27</v>
      </c>
      <c r="B28" s="5" t="s">
        <v>18</v>
      </c>
      <c r="C28" s="4">
        <f t="shared" si="0"/>
        <v>239</v>
      </c>
      <c r="D28" s="11">
        <v>399</v>
      </c>
      <c r="E28" s="6">
        <f t="shared" si="1"/>
        <v>2.2960064449303718E-2</v>
      </c>
      <c r="F28" s="4">
        <f t="shared" si="2"/>
        <v>5.4447294980851497</v>
      </c>
      <c r="G28" s="4">
        <f t="shared" si="3"/>
        <v>0.12501134018506013</v>
      </c>
    </row>
    <row r="29" spans="1:7" x14ac:dyDescent="0.25">
      <c r="A29" s="4">
        <v>28</v>
      </c>
      <c r="B29" s="5" t="s">
        <v>19</v>
      </c>
      <c r="C29" s="4">
        <f t="shared" si="0"/>
        <v>240</v>
      </c>
      <c r="D29" s="11">
        <v>653</v>
      </c>
      <c r="E29" s="6">
        <f t="shared" si="1"/>
        <v>3.7576245828058463E-2</v>
      </c>
      <c r="F29" s="4">
        <f t="shared" si="2"/>
        <v>4.7340352527610658</v>
      </c>
      <c r="G29" s="4">
        <f t="shared" si="3"/>
        <v>0.1778872724164447</v>
      </c>
    </row>
    <row r="30" spans="1:7" x14ac:dyDescent="0.25">
      <c r="A30" s="4">
        <v>29</v>
      </c>
      <c r="B30" s="5" t="s">
        <v>20</v>
      </c>
      <c r="C30" s="4">
        <f t="shared" si="0"/>
        <v>241</v>
      </c>
      <c r="D30" s="11">
        <v>726</v>
      </c>
      <c r="E30" s="6">
        <f t="shared" si="1"/>
        <v>4.1776959373921049E-2</v>
      </c>
      <c r="F30" s="4">
        <f t="shared" si="2"/>
        <v>4.5811486963117449</v>
      </c>
      <c r="G30" s="4">
        <f t="shared" si="3"/>
        <v>0.19138646297170714</v>
      </c>
    </row>
    <row r="31" spans="1:7" x14ac:dyDescent="0.25">
      <c r="A31" s="4">
        <v>30</v>
      </c>
      <c r="B31" s="5" t="s">
        <v>21</v>
      </c>
      <c r="C31" s="4">
        <f t="shared" si="0"/>
        <v>242</v>
      </c>
      <c r="D31" s="11">
        <v>888</v>
      </c>
      <c r="E31" s="6">
        <f t="shared" si="1"/>
        <v>5.1099090804465418E-2</v>
      </c>
      <c r="F31" s="4">
        <f t="shared" si="2"/>
        <v>4.2905585679573903</v>
      </c>
      <c r="G31" s="4">
        <f t="shared" si="3"/>
        <v>0.21924364186593179</v>
      </c>
    </row>
    <row r="32" spans="1:7" x14ac:dyDescent="0.25">
      <c r="A32" s="4">
        <v>31</v>
      </c>
      <c r="B32" s="5" t="s">
        <v>22</v>
      </c>
      <c r="C32" s="4">
        <f t="shared" si="0"/>
        <v>243</v>
      </c>
      <c r="D32" s="11">
        <v>390</v>
      </c>
      <c r="E32" s="6">
        <f t="shared" si="1"/>
        <v>2.2442168258717921E-2</v>
      </c>
      <c r="F32" s="4">
        <f t="shared" si="2"/>
        <v>5.4776441205578852</v>
      </c>
      <c r="G32" s="4">
        <f t="shared" si="3"/>
        <v>0.12293021101493701</v>
      </c>
    </row>
    <row r="33" spans="1:7" x14ac:dyDescent="0.25">
      <c r="A33" s="4">
        <v>32</v>
      </c>
      <c r="B33" s="5" t="s">
        <v>23</v>
      </c>
      <c r="C33" s="4">
        <f t="shared" si="0"/>
        <v>244</v>
      </c>
      <c r="D33" s="11">
        <v>25</v>
      </c>
      <c r="E33" s="6">
        <f t="shared" si="1"/>
        <v>1.4386005294049948E-3</v>
      </c>
      <c r="F33" s="4">
        <f t="shared" si="2"/>
        <v>9.4411182445327722</v>
      </c>
      <c r="G33" s="4">
        <f t="shared" si="3"/>
        <v>1.3581997704760002E-2</v>
      </c>
    </row>
    <row r="34" spans="1:7" x14ac:dyDescent="0.25">
      <c r="A34" s="4">
        <v>33</v>
      </c>
      <c r="B34" s="5" t="s">
        <v>24</v>
      </c>
      <c r="C34" s="4">
        <f t="shared" si="0"/>
        <v>245</v>
      </c>
      <c r="D34" s="11">
        <v>90</v>
      </c>
      <c r="E34" s="6">
        <f t="shared" si="1"/>
        <v>5.1789619058579817E-3</v>
      </c>
      <c r="F34" s="4">
        <f t="shared" si="2"/>
        <v>7.5931213379778209</v>
      </c>
      <c r="G34" s="4">
        <f t="shared" si="3"/>
        <v>3.932448615594452E-2</v>
      </c>
    </row>
    <row r="35" spans="1:7" x14ac:dyDescent="0.25">
      <c r="A35" s="4">
        <v>34</v>
      </c>
      <c r="B35" s="5" t="s">
        <v>25</v>
      </c>
      <c r="C35" s="4">
        <f t="shared" si="0"/>
        <v>246</v>
      </c>
      <c r="D35" s="11">
        <v>68</v>
      </c>
      <c r="E35" s="6">
        <f t="shared" si="1"/>
        <v>3.9129934399815859E-3</v>
      </c>
      <c r="F35" s="4">
        <f t="shared" si="2"/>
        <v>7.9975115930571574</v>
      </c>
      <c r="G35" s="4">
        <f t="shared" si="3"/>
        <v>3.1294210399809341E-2</v>
      </c>
    </row>
    <row r="36" spans="1:7" x14ac:dyDescent="0.25">
      <c r="A36" s="4">
        <v>35</v>
      </c>
      <c r="B36" s="5" t="s">
        <v>26</v>
      </c>
      <c r="C36" s="4">
        <f t="shared" si="0"/>
        <v>247</v>
      </c>
      <c r="D36" s="11">
        <v>172</v>
      </c>
      <c r="E36" s="6">
        <f t="shared" si="1"/>
        <v>9.8975716423063652E-3</v>
      </c>
      <c r="F36" s="4">
        <f t="shared" si="2"/>
        <v>6.6587096796053977</v>
      </c>
      <c r="G36" s="4">
        <f t="shared" si="3"/>
        <v>6.5905056099213294E-2</v>
      </c>
    </row>
    <row r="37" spans="1:7" x14ac:dyDescent="0.25">
      <c r="A37" s="4">
        <v>36</v>
      </c>
      <c r="B37" s="5" t="s">
        <v>27</v>
      </c>
      <c r="C37" s="4">
        <f t="shared" si="0"/>
        <v>248</v>
      </c>
      <c r="D37" s="11">
        <v>143</v>
      </c>
      <c r="E37" s="6">
        <f t="shared" si="1"/>
        <v>8.2287950281965706E-3</v>
      </c>
      <c r="F37" s="4">
        <f t="shared" si="2"/>
        <v>6.9251030975291066</v>
      </c>
      <c r="G37" s="4">
        <f t="shared" si="3"/>
        <v>5.6985253938696183E-2</v>
      </c>
    </row>
    <row r="38" spans="1:7" x14ac:dyDescent="0.25">
      <c r="A38" s="4">
        <v>37</v>
      </c>
      <c r="B38" s="5" t="s">
        <v>28</v>
      </c>
      <c r="C38" s="4">
        <f t="shared" si="0"/>
        <v>249</v>
      </c>
      <c r="D38" s="11">
        <v>52</v>
      </c>
      <c r="E38" s="6">
        <f t="shared" si="1"/>
        <v>2.9922891011623892E-3</v>
      </c>
      <c r="F38" s="4">
        <f t="shared" si="2"/>
        <v>8.384534716166403</v>
      </c>
      <c r="G38" s="4">
        <f t="shared" si="3"/>
        <v>2.5088951849502415E-2</v>
      </c>
    </row>
    <row r="39" spans="1:7" x14ac:dyDescent="0.25">
      <c r="A39" s="4">
        <v>38</v>
      </c>
      <c r="B39" s="5" t="s">
        <v>29</v>
      </c>
      <c r="C39" s="4">
        <f t="shared" si="0"/>
        <v>250</v>
      </c>
      <c r="D39" s="11">
        <v>3</v>
      </c>
      <c r="E39" s="6">
        <f t="shared" si="1"/>
        <v>1.7263206352859938E-4</v>
      </c>
      <c r="F39" s="4">
        <f t="shared" si="2"/>
        <v>12.50001193358634</v>
      </c>
      <c r="G39" s="4">
        <f t="shared" si="3"/>
        <v>2.1579028542271276E-3</v>
      </c>
    </row>
    <row r="40" spans="1:7" x14ac:dyDescent="0.25">
      <c r="A40" s="4">
        <v>39</v>
      </c>
      <c r="B40" s="5" t="s">
        <v>30</v>
      </c>
      <c r="C40" s="4">
        <f t="shared" si="0"/>
        <v>251</v>
      </c>
      <c r="D40" s="11">
        <v>298</v>
      </c>
      <c r="E40" s="6">
        <f t="shared" si="1"/>
        <v>1.7148118310507537E-2</v>
      </c>
      <c r="F40" s="4">
        <f t="shared" si="2"/>
        <v>5.8658059138453353</v>
      </c>
      <c r="G40" s="4">
        <f t="shared" si="3"/>
        <v>0.10058753379709459</v>
      </c>
    </row>
    <row r="41" spans="1:7" x14ac:dyDescent="0.25">
      <c r="A41" s="4">
        <v>40</v>
      </c>
      <c r="B41" s="5" t="s">
        <v>31</v>
      </c>
      <c r="C41" s="4">
        <f t="shared" si="0"/>
        <v>252</v>
      </c>
      <c r="D41" s="11">
        <v>265</v>
      </c>
      <c r="E41" s="6">
        <f t="shared" si="1"/>
        <v>1.5249165611692945E-2</v>
      </c>
      <c r="F41" s="4">
        <f t="shared" si="2"/>
        <v>6.0351258848569342</v>
      </c>
      <c r="G41" s="4">
        <f t="shared" si="3"/>
        <v>9.2030634105598322E-2</v>
      </c>
    </row>
    <row r="42" spans="1:7" x14ac:dyDescent="0.25">
      <c r="A42" s="4">
        <v>41</v>
      </c>
      <c r="B42" s="5" t="s">
        <v>32</v>
      </c>
      <c r="C42" s="4">
        <f t="shared" si="0"/>
        <v>253</v>
      </c>
      <c r="D42" s="11">
        <v>39</v>
      </c>
      <c r="E42" s="6">
        <f t="shared" si="1"/>
        <v>2.2442168258717918E-3</v>
      </c>
      <c r="F42" s="4">
        <f t="shared" si="2"/>
        <v>8.7995722154452469</v>
      </c>
      <c r="G42" s="4">
        <f t="shared" si="3"/>
        <v>1.9748148026376144E-2</v>
      </c>
    </row>
    <row r="43" spans="1:7" x14ac:dyDescent="0.25">
      <c r="A43" s="4">
        <v>42</v>
      </c>
      <c r="B43" s="5" t="s">
        <v>33</v>
      </c>
      <c r="C43" s="4">
        <f>CODE(B43)</f>
        <v>254</v>
      </c>
      <c r="D43" s="11">
        <v>82</v>
      </c>
      <c r="E43" s="6">
        <f t="shared" si="1"/>
        <v>4.7186097364483827E-3</v>
      </c>
      <c r="F43" s="4">
        <f t="shared" si="2"/>
        <v>7.7274224296894127</v>
      </c>
      <c r="G43" s="4">
        <f t="shared" si="3"/>
        <v>3.646269071438208E-2</v>
      </c>
    </row>
    <row r="44" spans="1:7" x14ac:dyDescent="0.25">
      <c r="A44" s="4">
        <v>43</v>
      </c>
      <c r="B44" s="5" t="s">
        <v>34</v>
      </c>
      <c r="C44" s="4">
        <f t="shared" si="0"/>
        <v>255</v>
      </c>
      <c r="D44" s="11">
        <v>335</v>
      </c>
      <c r="E44" s="6">
        <f t="shared" si="1"/>
        <v>1.9277247094026929E-2</v>
      </c>
      <c r="F44" s="4">
        <f t="shared" si="2"/>
        <v>5.6969571489623609</v>
      </c>
      <c r="G44" s="4">
        <f t="shared" si="3"/>
        <v>0.10982165064463062</v>
      </c>
    </row>
    <row r="45" spans="1:7" x14ac:dyDescent="0.25">
      <c r="A45" s="4">
        <v>44</v>
      </c>
      <c r="B45" s="5" t="s">
        <v>35</v>
      </c>
      <c r="C45" s="4">
        <f t="shared" si="0"/>
        <v>46</v>
      </c>
      <c r="D45" s="11">
        <v>296</v>
      </c>
      <c r="E45" s="6">
        <f t="shared" si="1"/>
        <v>1.7033030268155138E-2</v>
      </c>
      <c r="F45" s="4">
        <f t="shared" si="2"/>
        <v>5.8755210686785464</v>
      </c>
      <c r="G45" s="4">
        <f t="shared" si="3"/>
        <v>0.10007792820398491</v>
      </c>
    </row>
    <row r="46" spans="1:7" x14ac:dyDescent="0.25">
      <c r="A46" s="4">
        <v>45</v>
      </c>
      <c r="B46" s="5" t="s">
        <v>36</v>
      </c>
      <c r="C46" s="4">
        <f t="shared" si="0"/>
        <v>44</v>
      </c>
      <c r="D46" s="11">
        <v>234</v>
      </c>
      <c r="E46" s="6">
        <f t="shared" si="1"/>
        <v>1.3465300955230752E-2</v>
      </c>
      <c r="F46" s="4">
        <f t="shared" si="2"/>
        <v>6.2146097147240917</v>
      </c>
      <c r="G46" s="4">
        <f t="shared" si="3"/>
        <v>8.3681590128060618E-2</v>
      </c>
    </row>
    <row r="47" spans="1:7" x14ac:dyDescent="0.25">
      <c r="A47" s="4">
        <v>46</v>
      </c>
      <c r="B47" s="5" t="s">
        <v>37</v>
      </c>
      <c r="C47" s="4">
        <f t="shared" si="0"/>
        <v>58</v>
      </c>
      <c r="D47" s="11">
        <v>14</v>
      </c>
      <c r="E47" s="6">
        <f t="shared" si="1"/>
        <v>8.0561629646679707E-4</v>
      </c>
      <c r="F47" s="4">
        <f t="shared" si="2"/>
        <v>10.277619512249892</v>
      </c>
      <c r="G47" s="4">
        <f t="shared" si="3"/>
        <v>8.2798177679536469E-3</v>
      </c>
    </row>
    <row r="48" spans="1:7" x14ac:dyDescent="0.25">
      <c r="A48" s="4">
        <v>47</v>
      </c>
      <c r="B48" s="5" t="s">
        <v>38</v>
      </c>
      <c r="C48" s="4">
        <f t="shared" si="0"/>
        <v>59</v>
      </c>
      <c r="D48" s="11">
        <v>8</v>
      </c>
      <c r="E48" s="6">
        <f t="shared" si="1"/>
        <v>4.6035216940959836E-4</v>
      </c>
      <c r="F48" s="4">
        <f t="shared" si="2"/>
        <v>11.084974434307497</v>
      </c>
      <c r="G48" s="4">
        <f t="shared" si="3"/>
        <v>5.1029920286833914E-3</v>
      </c>
    </row>
    <row r="49" spans="1:7" x14ac:dyDescent="0.25">
      <c r="A49" s="4">
        <v>48</v>
      </c>
      <c r="B49" s="5" t="s">
        <v>39</v>
      </c>
      <c r="C49" s="4">
        <f t="shared" si="0"/>
        <v>45</v>
      </c>
      <c r="D49" s="11">
        <v>14</v>
      </c>
      <c r="E49" s="6">
        <f t="shared" si="1"/>
        <v>8.0561629646679707E-4</v>
      </c>
      <c r="F49" s="4">
        <f t="shared" si="2"/>
        <v>10.277619512249892</v>
      </c>
      <c r="G49" s="4">
        <f t="shared" si="3"/>
        <v>8.2798177679536469E-3</v>
      </c>
    </row>
    <row r="50" spans="1:7" x14ac:dyDescent="0.25">
      <c r="A50" s="4">
        <v>49</v>
      </c>
      <c r="B50" s="5" t="s">
        <v>40</v>
      </c>
      <c r="C50" s="4">
        <f t="shared" si="0"/>
        <v>32</v>
      </c>
      <c r="D50" s="11">
        <v>2734</v>
      </c>
      <c r="E50" s="6">
        <f t="shared" si="1"/>
        <v>0.15732535389573024</v>
      </c>
      <c r="F50" s="4">
        <f t="shared" si="2"/>
        <v>2.668176906701436</v>
      </c>
      <c r="G50" s="4">
        <f t="shared" si="3"/>
        <v>0.41977187610321826</v>
      </c>
    </row>
    <row r="51" spans="1:7" x14ac:dyDescent="0.25">
      <c r="A51" s="4">
        <v>50</v>
      </c>
      <c r="B51" s="5" t="s">
        <v>41</v>
      </c>
      <c r="C51" s="4">
        <f t="shared" si="0"/>
        <v>40</v>
      </c>
      <c r="D51" s="11">
        <v>3</v>
      </c>
      <c r="E51" s="6">
        <f t="shared" si="1"/>
        <v>1.7263206352859938E-4</v>
      </c>
      <c r="F51" s="4">
        <f t="shared" si="2"/>
        <v>12.50001193358634</v>
      </c>
      <c r="G51" s="4">
        <f t="shared" si="3"/>
        <v>2.1579028542271276E-3</v>
      </c>
    </row>
    <row r="52" spans="1:7" ht="30" customHeight="1" x14ac:dyDescent="0.25">
      <c r="B52" s="15" t="s">
        <v>46</v>
      </c>
      <c r="C52" s="15"/>
      <c r="D52">
        <f>SUM(D2:D51)</f>
        <v>17378</v>
      </c>
      <c r="E52" s="6"/>
      <c r="F52" s="4"/>
      <c r="G52" s="12">
        <f>SUM(G2:G51)</f>
        <v>4.5004947767136745</v>
      </c>
    </row>
    <row r="53" spans="1:7" x14ac:dyDescent="0.25">
      <c r="B53" s="16" t="s">
        <v>54</v>
      </c>
      <c r="C53" s="16"/>
      <c r="D53">
        <v>2721</v>
      </c>
    </row>
  </sheetData>
  <mergeCells count="2">
    <mergeCell ref="B52:C52"/>
    <mergeCell ref="B53:C5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Печерский Игорь Александрович</dc:creator>
  <cp:lastModifiedBy>user</cp:lastModifiedBy>
  <dcterms:created xsi:type="dcterms:W3CDTF">2022-11-17T07:45:36Z</dcterms:created>
  <dcterms:modified xsi:type="dcterms:W3CDTF">2022-12-05T08:45:14Z</dcterms:modified>
</cp:coreProperties>
</file>