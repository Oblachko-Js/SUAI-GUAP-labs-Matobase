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1" l="1"/>
  <c r="E25" i="1" l="1"/>
  <c r="E24" i="1"/>
  <c r="E23" i="1"/>
  <c r="E22" i="1"/>
  <c r="E21" i="1"/>
  <c r="D22" i="1"/>
  <c r="D23" i="1"/>
  <c r="D24" i="1"/>
  <c r="D25" i="1"/>
  <c r="D21" i="1"/>
</calcChain>
</file>

<file path=xl/sharedStrings.xml><?xml version="1.0" encoding="utf-8"?>
<sst xmlns="http://schemas.openxmlformats.org/spreadsheetml/2006/main" count="2" uniqueCount="2">
  <si>
    <t>1/b</t>
  </si>
  <si>
    <t>T^2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</si>
</sst>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75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Лист1!$A$2:$A$6</c:f>
              <c:numCache>
                <c:formatCode>General</c:formatCode>
                <c:ptCount val="5"/>
                <c:pt idx="0">
                  <c:v>0.05</c:v>
                </c:pt>
                <c:pt idx="1">
                  <c:v>0.04</c:v>
                </c:pt>
                <c:pt idx="2">
                  <c:v>0.03</c:v>
                </c:pt>
                <c:pt idx="3">
                  <c:v>2.8000000000000001E-2</c:v>
                </c:pt>
                <c:pt idx="4">
                  <c:v>2.5000000000000001E-2</c:v>
                </c:pt>
              </c:numCache>
            </c:numRef>
          </c:xVal>
          <c:yVal>
            <c:numRef>
              <c:f>Лист1!$B$2:$B$6</c:f>
              <c:numCache>
                <c:formatCode>General</c:formatCode>
                <c:ptCount val="5"/>
                <c:pt idx="0">
                  <c:v>2.56</c:v>
                </c:pt>
                <c:pt idx="1">
                  <c:v>2.79</c:v>
                </c:pt>
                <c:pt idx="2">
                  <c:v>2.92</c:v>
                </c:pt>
                <c:pt idx="3">
                  <c:v>3.1</c:v>
                </c:pt>
                <c:pt idx="4">
                  <c:v>3.31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80-4DCB-A823-DF0E5D77A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1599560"/>
        <c:axId val="471600216"/>
      </c:scatterChart>
      <c:valAx>
        <c:axId val="471599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1600216"/>
        <c:crosses val="autoZero"/>
        <c:crossBetween val="midCat"/>
      </c:valAx>
      <c:valAx>
        <c:axId val="471600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1599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0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cat>
            <c:numRef>
              <c:f>Лист1!$D$20:$D$25</c:f>
              <c:numCache>
                <c:formatCode>General</c:formatCode>
                <c:ptCount val="6"/>
                <c:pt idx="0">
                  <c:v>0</c:v>
                </c:pt>
                <c:pt idx="1">
                  <c:v>1.0641777724759121</c:v>
                </c:pt>
                <c:pt idx="2">
                  <c:v>1.1033779189624917</c:v>
                </c:pt>
                <c:pt idx="3">
                  <c:v>1.1547005383792515</c:v>
                </c:pt>
                <c:pt idx="4">
                  <c:v>1.2207745887614561</c:v>
                </c:pt>
                <c:pt idx="5">
                  <c:v>1.3054072893322786</c:v>
                </c:pt>
              </c:numCache>
            </c:numRef>
          </c:cat>
          <c:val>
            <c:numRef>
              <c:f>Лист1!$E$20:$E$25</c:f>
              <c:numCache>
                <c:formatCode>General</c:formatCode>
                <c:ptCount val="6"/>
                <c:pt idx="0">
                  <c:v>#N/A</c:v>
                </c:pt>
                <c:pt idx="1">
                  <c:v>2.9929000000000001</c:v>
                </c:pt>
                <c:pt idx="2">
                  <c:v>3.0625</c:v>
                </c:pt>
                <c:pt idx="3">
                  <c:v>3.1684000000000001</c:v>
                </c:pt>
                <c:pt idx="4">
                  <c:v>3.2761</c:v>
                </c:pt>
                <c:pt idx="5">
                  <c:v>3.4596000000000005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15-4FE7-91B5-92376CC7D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447320"/>
        <c:axId val="482446336"/>
      </c:lineChart>
      <c:catAx>
        <c:axId val="482447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2446336"/>
        <c:crosses val="autoZero"/>
        <c:auto val="1"/>
        <c:lblAlgn val="ctr"/>
        <c:lblOffset val="100"/>
        <c:tickMarkSkip val="1"/>
        <c:noMultiLvlLbl val="0"/>
      </c:catAx>
      <c:valAx>
        <c:axId val="4824463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2447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8240056"/>
        <c:axId val="378233824"/>
      </c:lineChart>
      <c:catAx>
        <c:axId val="378240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8233824"/>
        <c:crosses val="autoZero"/>
        <c:auto val="1"/>
        <c:lblAlgn val="ctr"/>
        <c:lblOffset val="100"/>
        <c:noMultiLvlLbl val="0"/>
      </c:catAx>
      <c:valAx>
        <c:axId val="37823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8240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390525</xdr:colOff>
      <xdr:row>0</xdr:row>
      <xdr:rowOff>0</xdr:rowOff>
    </xdr:from>
    <xdr:to>
      <xdr:col>12</xdr:col>
      <xdr:colOff>85725</xdr:colOff>
      <xdr:row>14</xdr:row>
      <xdr:rowOff>76200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230652</xdr:colOff>
      <xdr:row>6</xdr:row>
      <xdr:rowOff>169208</xdr:rowOff>
    </xdr:from>
    <xdr:to>
      <xdr:col>13</xdr:col>
      <xdr:colOff>130734</xdr:colOff>
      <xdr:row>21</xdr:row>
      <xdr:rowOff>110937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506132</xdr:colOff>
      <xdr:row>12</xdr:row>
      <xdr:rowOff>85165</xdr:rowOff>
    </xdr:from>
    <xdr:to>
      <xdr:col>23</xdr:col>
      <xdr:colOff>270809</xdr:colOff>
      <xdr:row>27</xdr:row>
      <xdr:rowOff>26894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topLeftCell="D1" zoomScale="102" workbookViewId="0">
      <selection activeCell="D20" sqref="D20:E2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0.05</v>
      </c>
      <c r="B2">
        <v>2.56</v>
      </c>
    </row>
    <row r="3" spans="1:2" x14ac:dyDescent="0.25">
      <c r="A3">
        <v>0.04</v>
      </c>
      <c r="B3">
        <v>2.79</v>
      </c>
    </row>
    <row r="4" spans="1:2" x14ac:dyDescent="0.25">
      <c r="A4">
        <v>0.03</v>
      </c>
      <c r="B4">
        <v>2.92</v>
      </c>
    </row>
    <row r="5" spans="1:2" x14ac:dyDescent="0.25">
      <c r="A5">
        <v>2.8000000000000001E-2</v>
      </c>
      <c r="B5">
        <v>3.1</v>
      </c>
    </row>
    <row r="6" spans="1:2" x14ac:dyDescent="0.25">
      <c r="A6">
        <v>2.5000000000000001E-2</v>
      </c>
      <c r="B6">
        <v>3.31</v>
      </c>
    </row>
    <row r="20" spans="3:5" x14ac:dyDescent="0.25">
      <c r="D20">
        <v>0</v>
      </c>
      <c r="E20" t="e">
        <f>NA()</f>
        <v>#N/A</v>
      </c>
    </row>
    <row r="21" spans="3:5" x14ac:dyDescent="0.25">
      <c r="C21">
        <v>20</v>
      </c>
      <c r="D21">
        <f>1/COS(RADIANS(C21))</f>
        <v>1.0641777724759121</v>
      </c>
      <c r="E21">
        <f>1.73^2</f>
        <v>2.9929000000000001</v>
      </c>
    </row>
    <row r="22" spans="3:5" x14ac:dyDescent="0.25">
      <c r="C22">
        <v>25</v>
      </c>
      <c r="D22">
        <f t="shared" ref="D22:D25" si="0">1/COS(RADIANS(C22))</f>
        <v>1.1033779189624917</v>
      </c>
      <c r="E22">
        <f>1.75^2</f>
        <v>3.0625</v>
      </c>
    </row>
    <row r="23" spans="3:5" x14ac:dyDescent="0.25">
      <c r="C23">
        <v>30</v>
      </c>
      <c r="D23">
        <f t="shared" si="0"/>
        <v>1.1547005383792515</v>
      </c>
      <c r="E23">
        <f>1.78^2</f>
        <v>3.1684000000000001</v>
      </c>
    </row>
    <row r="24" spans="3:5" x14ac:dyDescent="0.25">
      <c r="C24">
        <v>35</v>
      </c>
      <c r="D24">
        <f t="shared" si="0"/>
        <v>1.2207745887614561</v>
      </c>
      <c r="E24">
        <f>1.81^2</f>
        <v>3.2761</v>
      </c>
    </row>
    <row r="25" spans="3:5" x14ac:dyDescent="0.25">
      <c r="C25">
        <v>40</v>
      </c>
      <c r="D25">
        <f t="shared" si="0"/>
        <v>1.3054072893322786</v>
      </c>
      <c r="E25">
        <f>1.86^2</f>
        <v>3.4596000000000005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2022-11-16T16:14:36Z</dcterms:modified>
</cp:coreProperties>
</file>