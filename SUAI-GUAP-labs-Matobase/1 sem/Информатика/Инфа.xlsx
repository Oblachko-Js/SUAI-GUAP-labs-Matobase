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815" windowHeight="6585" activeTab="2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I3" i="1" l="1"/>
  <c r="I6" i="1" l="1"/>
  <c r="O6" i="1"/>
  <c r="O5" i="1"/>
  <c r="O4" i="1"/>
  <c r="O3" i="1"/>
  <c r="J8" i="1"/>
  <c r="N3" i="1" s="1"/>
  <c r="J7" i="1"/>
  <c r="J6" i="1"/>
  <c r="J4" i="1"/>
  <c r="J3" i="1"/>
  <c r="J5" i="1"/>
  <c r="N5" i="1" l="1"/>
  <c r="L8" i="1"/>
  <c r="L7" i="1"/>
  <c r="L6" i="1"/>
  <c r="L5" i="1"/>
  <c r="L4" i="1"/>
  <c r="L3" i="1"/>
  <c r="I4" i="1"/>
  <c r="I5" i="1"/>
  <c r="I7" i="1"/>
  <c r="I8" i="1"/>
</calcChain>
</file>

<file path=xl/sharedStrings.xml><?xml version="1.0" encoding="utf-8"?>
<sst xmlns="http://schemas.openxmlformats.org/spreadsheetml/2006/main" count="37" uniqueCount="30">
  <si>
    <t>Фамилия Имя Отчество</t>
  </si>
  <si>
    <t>Город рождения</t>
  </si>
  <si>
    <t>Дата рождения</t>
  </si>
  <si>
    <t>Оценки по курсу</t>
  </si>
  <si>
    <t xml:space="preserve">Информатика </t>
  </si>
  <si>
    <t>Линейная алгебра</t>
  </si>
  <si>
    <t>Культурология</t>
  </si>
  <si>
    <t>Психология</t>
  </si>
  <si>
    <t>Иванов Иван Иванович</t>
  </si>
  <si>
    <t>Ляпушкин Валерий Федорович</t>
  </si>
  <si>
    <t>Калиточкин Михаил Сергеевич</t>
  </si>
  <si>
    <t>Зинаев Дмитрий Алексеевич</t>
  </si>
  <si>
    <t>Валюшин Роман Капитонович</t>
  </si>
  <si>
    <t>Завитушкин Владимир Ильич</t>
  </si>
  <si>
    <t>Санкт-Петербург</t>
  </si>
  <si>
    <t>Мурманск</t>
  </si>
  <si>
    <t>Архангельск</t>
  </si>
  <si>
    <t>Калининград</t>
  </si>
  <si>
    <t>н/я</t>
  </si>
  <si>
    <t>Возраст студента</t>
  </si>
  <si>
    <t>Текущая дата</t>
  </si>
  <si>
    <t>Средняя оценка</t>
  </si>
  <si>
    <t>Коэффициент</t>
  </si>
  <si>
    <t>Умножил</t>
  </si>
  <si>
    <t>Номер</t>
  </si>
  <si>
    <t>&lt;4</t>
  </si>
  <si>
    <t>Количество человек</t>
  </si>
  <si>
    <t>Средний по предмету</t>
  </si>
  <si>
    <t>Значения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</si>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</sst>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6"/>
      <color theme="1"/>
      <name val="Courier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3" fillId="0" borderId="1" xfId="2" applyNumberFormat="1" applyFont="1" applyBorder="1" applyAlignment="1">
      <alignment horizontal="right"/>
    </xf>
    <xf numFmtId="1" fontId="3" fillId="0" borderId="1" xfId="2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164" fontId="3" fillId="0" borderId="1" xfId="1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49" fontId="0" fillId="0" borderId="0" xfId="0" applyNumberFormat="1"/>
    <xf numFmtId="0" fontId="2" fillId="0" borderId="2" xfId="0" applyFont="1" applyBorder="1" applyAlignment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</a:t>
            </a:r>
            <a:r>
              <a:rPr lang="ru-RU" baseline="0"/>
              <a:t> среднего балла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Лист2!$C$9</c:f>
              <c:strCache>
                <c:ptCount val="1"/>
                <c:pt idx="0">
                  <c:v>Количество человек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Лист2!$B$10:$B$12</c:f>
              <c:strCache>
                <c:ptCount val="3"/>
                <c:pt idx="0">
                  <c:v>5</c:v>
                </c:pt>
                <c:pt idx="1">
                  <c:v>4-5</c:v>
                </c:pt>
                <c:pt idx="2">
                  <c:v>&lt;4</c:v>
                </c:pt>
              </c:strCache>
            </c:strRef>
          </c:cat>
          <c:val>
            <c:numRef>
              <c:f>Лист2!$C$10:$C$12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3-46DA-843B-D691D77A7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Лист1!$O$3:$O$6</c:f>
              <c:numCache>
                <c:formatCode>0.00</c:formatCode>
                <c:ptCount val="4"/>
                <c:pt idx="0">
                  <c:v>3.5</c:v>
                </c:pt>
                <c:pt idx="1">
                  <c:v>3.3333333333333335</c:v>
                </c:pt>
                <c:pt idx="2">
                  <c:v>4</c:v>
                </c:pt>
                <c:pt idx="3">
                  <c:v>4.333333333333333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2-4809-800C-5780BCCEF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5215176"/>
        <c:axId val="495217144"/>
      </c:barChart>
      <c:catAx>
        <c:axId val="495215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217144"/>
        <c:crosses val="autoZero"/>
        <c:auto val="1"/>
        <c:lblAlgn val="ctr"/>
        <c:lblOffset val="100"/>
        <c:noMultiLvlLbl val="0"/>
      </c:catAx>
      <c:valAx>
        <c:axId val="49521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215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3</xdr:row>
      <xdr:rowOff>66675</xdr:rowOff>
    </xdr:from>
    <xdr:to>
      <xdr:col>17</xdr:col>
      <xdr:colOff>323849</xdr:colOff>
      <xdr:row>34</xdr:row>
      <xdr:rowOff>133349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9525</xdr:colOff>
      <xdr:row>34</xdr:row>
      <xdr:rowOff>171450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opLeftCell="H1" workbookViewId="0">
      <pane ySplit="2" topLeftCell="A3" activePane="bottomLeft" state="frozen"/>
      <selection pane="bottomLeft" activeCell="H3" sqref="H3"/>
    </sheetView>
  </sheetViews>
  <sheetFormatPr defaultRowHeight="15" x14ac:dyDescent="0.25"/>
  <cols>
    <col min="1" max="1" width="51.85546875" customWidth="1"/>
    <col min="2" max="2" width="30.5703125" customWidth="1"/>
    <col min="3" max="3" width="22" customWidth="1"/>
    <col min="4" max="4" width="17.5703125" customWidth="1"/>
    <col min="5" max="5" width="22.140625" customWidth="1"/>
    <col min="6" max="6" width="20" customWidth="1"/>
    <col min="7" max="7" width="20.28515625" customWidth="1"/>
    <col min="8" max="8" width="41.5703125" customWidth="1"/>
    <col min="9" max="9" width="22.85546875" customWidth="1"/>
    <col min="10" max="10" width="24.42578125" customWidth="1"/>
    <col min="11" max="11" width="17" customWidth="1"/>
    <col min="12" max="12" width="15" customWidth="1"/>
    <col min="13" max="13" width="17.7109375" customWidth="1"/>
    <col min="14" max="14" width="30.42578125" customWidth="1"/>
    <col min="15" max="15" width="27.85546875" customWidth="1"/>
    <col min="16" max="16" width="12.42578125" customWidth="1"/>
  </cols>
  <sheetData>
    <row r="1" spans="1:16" ht="42.75" customHeight="1" x14ac:dyDescent="0.3">
      <c r="A1" s="10" t="s">
        <v>0</v>
      </c>
      <c r="B1" s="10" t="s">
        <v>1</v>
      </c>
      <c r="C1" s="10" t="s">
        <v>2</v>
      </c>
      <c r="D1" s="12" t="s">
        <v>3</v>
      </c>
      <c r="E1" s="13"/>
      <c r="F1" s="13"/>
      <c r="G1" s="14"/>
      <c r="H1" s="10" t="s">
        <v>20</v>
      </c>
      <c r="I1" s="10" t="s">
        <v>19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26</v>
      </c>
      <c r="O1" s="10" t="s">
        <v>27</v>
      </c>
      <c r="P1" s="10" t="s">
        <v>28</v>
      </c>
    </row>
    <row r="2" spans="1:16" ht="40.5" customHeight="1" x14ac:dyDescent="0.3">
      <c r="A2" s="11"/>
      <c r="B2" s="11"/>
      <c r="C2" s="11"/>
      <c r="D2" s="2" t="s">
        <v>4</v>
      </c>
      <c r="E2" s="2" t="s">
        <v>5</v>
      </c>
      <c r="F2" s="2" t="s">
        <v>6</v>
      </c>
      <c r="G2" s="2" t="s">
        <v>7</v>
      </c>
      <c r="H2" s="11"/>
      <c r="I2" s="11"/>
      <c r="J2" s="11"/>
      <c r="K2" s="11"/>
      <c r="L2" s="11"/>
      <c r="M2" s="11"/>
      <c r="N2" s="11"/>
      <c r="O2" s="11"/>
      <c r="P2" s="11"/>
    </row>
    <row r="3" spans="1:16" ht="18.75" x14ac:dyDescent="0.25">
      <c r="A3" s="3" t="s">
        <v>8</v>
      </c>
      <c r="B3" s="3" t="s">
        <v>14</v>
      </c>
      <c r="C3" s="4">
        <v>39345</v>
      </c>
      <c r="D3" s="3">
        <v>5</v>
      </c>
      <c r="E3" s="3">
        <v>3</v>
      </c>
      <c r="F3" s="3">
        <v>4</v>
      </c>
      <c r="G3" s="3">
        <v>4</v>
      </c>
      <c r="H3" s="4">
        <v>44819</v>
      </c>
      <c r="I3" s="3">
        <f ca="1">DATEDIF(C3,TODAY(),"Y")</f>
        <v>15</v>
      </c>
      <c r="J3" s="9">
        <f>SUM(D3,E3,F3:G3)/4</f>
        <v>4</v>
      </c>
      <c r="K3" s="3">
        <v>2.4</v>
      </c>
      <c r="L3" s="3">
        <f>(J3)*(K3)</f>
        <v>9.6</v>
      </c>
      <c r="M3" s="3">
        <v>1</v>
      </c>
      <c r="N3" s="5">
        <f>COUNTIF(J3:J8,"5")</f>
        <v>1</v>
      </c>
      <c r="O3" s="7">
        <f>SUM(D3,D4,D6,D7,D8)/6</f>
        <v>3.5</v>
      </c>
      <c r="P3" s="3">
        <v>5</v>
      </c>
    </row>
    <row r="4" spans="1:16" ht="18.75" x14ac:dyDescent="0.25">
      <c r="A4" s="3" t="s">
        <v>9</v>
      </c>
      <c r="B4" s="3" t="s">
        <v>14</v>
      </c>
      <c r="C4" s="4">
        <v>38944</v>
      </c>
      <c r="D4" s="3">
        <v>4</v>
      </c>
      <c r="E4" s="3">
        <v>4</v>
      </c>
      <c r="F4" s="3">
        <v>4</v>
      </c>
      <c r="G4" s="3">
        <v>4</v>
      </c>
      <c r="H4" s="3"/>
      <c r="I4" s="3">
        <f t="shared" ref="I4:I8" ca="1" si="0">DATEDIF(C4,TODAY(),"Y")</f>
        <v>16</v>
      </c>
      <c r="J4" s="9">
        <f>SUM(D4,E4,F4:G4)/4</f>
        <v>4</v>
      </c>
      <c r="K4" s="3"/>
      <c r="L4" s="3">
        <f>(J4)*(K3)</f>
        <v>9.6</v>
      </c>
      <c r="M4" s="3">
        <v>2</v>
      </c>
      <c r="N4" s="6">
        <f>COUNTIF(J3:J8,"&gt;=4")-N3</f>
        <v>3</v>
      </c>
      <c r="O4" s="7">
        <f>SUM(E3,E4,E5,E6,E8)/6</f>
        <v>3.3333333333333335</v>
      </c>
      <c r="P4" s="8" t="s">
        <v>29</v>
      </c>
    </row>
    <row r="5" spans="1:16" ht="18.75" x14ac:dyDescent="0.25">
      <c r="A5" s="3" t="s">
        <v>10</v>
      </c>
      <c r="B5" s="3" t="s">
        <v>15</v>
      </c>
      <c r="C5" s="4">
        <v>38052</v>
      </c>
      <c r="D5" s="3" t="s">
        <v>18</v>
      </c>
      <c r="E5" s="3">
        <v>3</v>
      </c>
      <c r="F5" s="3">
        <v>4</v>
      </c>
      <c r="G5" s="3">
        <v>4</v>
      </c>
      <c r="H5" s="3"/>
      <c r="I5" s="3">
        <f t="shared" ca="1" si="0"/>
        <v>18</v>
      </c>
      <c r="J5" s="9">
        <f>SUM(E5,F5,G5)/4</f>
        <v>2.75</v>
      </c>
      <c r="K5" s="3"/>
      <c r="L5" s="3">
        <f>(J5)*(K3)</f>
        <v>6.6</v>
      </c>
      <c r="M5" s="3">
        <v>3</v>
      </c>
      <c r="N5" s="6">
        <f>COUNTIF(J3:J8,"&lt;4")</f>
        <v>2</v>
      </c>
      <c r="O5" s="7">
        <f>SUM(F3:F8)/6</f>
        <v>4</v>
      </c>
      <c r="P5" s="3" t="s">
        <v>25</v>
      </c>
    </row>
    <row r="6" spans="1:16" ht="18.75" x14ac:dyDescent="0.25">
      <c r="A6" s="3" t="s">
        <v>11</v>
      </c>
      <c r="B6" s="3" t="s">
        <v>16</v>
      </c>
      <c r="C6" s="4">
        <v>39075</v>
      </c>
      <c r="D6" s="3">
        <v>5</v>
      </c>
      <c r="E6" s="3">
        <v>5</v>
      </c>
      <c r="F6" s="3">
        <v>5</v>
      </c>
      <c r="G6" s="3">
        <v>5</v>
      </c>
      <c r="H6" s="3"/>
      <c r="I6" s="3">
        <f ca="1">DATEDIF(C6,TODAY(),"Y")</f>
        <v>15</v>
      </c>
      <c r="J6" s="9">
        <f>SUM(D6,E6,F6:G6)/4</f>
        <v>5</v>
      </c>
      <c r="K6" s="3"/>
      <c r="L6" s="3">
        <f>(J6)*(K3)</f>
        <v>12</v>
      </c>
      <c r="M6" s="3">
        <v>4</v>
      </c>
      <c r="N6" s="5"/>
      <c r="O6" s="7">
        <f>SUM(G3:G8)/6</f>
        <v>4.333333333333333</v>
      </c>
      <c r="P6" s="3"/>
    </row>
    <row r="7" spans="1:16" ht="18.75" x14ac:dyDescent="0.25">
      <c r="A7" s="3" t="s">
        <v>12</v>
      </c>
      <c r="B7" s="3" t="s">
        <v>17</v>
      </c>
      <c r="C7" s="4">
        <v>39124</v>
      </c>
      <c r="D7" s="3">
        <v>3</v>
      </c>
      <c r="E7" s="3" t="s">
        <v>18</v>
      </c>
      <c r="F7" s="3">
        <v>4</v>
      </c>
      <c r="G7" s="3">
        <v>4</v>
      </c>
      <c r="H7" s="3"/>
      <c r="I7" s="3">
        <f t="shared" ca="1" si="0"/>
        <v>15</v>
      </c>
      <c r="J7" s="9">
        <f>SUM(D7,F7:G7)/4</f>
        <v>2.75</v>
      </c>
      <c r="K7" s="3"/>
      <c r="L7" s="3">
        <f>(J7)*(K3)</f>
        <v>6.6</v>
      </c>
      <c r="M7" s="3">
        <v>5</v>
      </c>
      <c r="N7" s="5"/>
      <c r="O7" s="3"/>
      <c r="P7" s="3"/>
    </row>
    <row r="8" spans="1:16" ht="18.75" x14ac:dyDescent="0.25">
      <c r="A8" s="3" t="s">
        <v>13</v>
      </c>
      <c r="B8" s="3" t="s">
        <v>14</v>
      </c>
      <c r="C8" s="4">
        <v>38977</v>
      </c>
      <c r="D8" s="3">
        <v>4</v>
      </c>
      <c r="E8" s="3">
        <v>5</v>
      </c>
      <c r="F8" s="3">
        <v>3</v>
      </c>
      <c r="G8" s="3">
        <v>5</v>
      </c>
      <c r="H8" s="3"/>
      <c r="I8" s="3">
        <f t="shared" ca="1" si="0"/>
        <v>16</v>
      </c>
      <c r="J8" s="9">
        <f>SUM(D8,E8,F8:G8)/4</f>
        <v>4.25</v>
      </c>
      <c r="K8" s="3"/>
      <c r="L8" s="3">
        <f>(J8)*(K3)</f>
        <v>10.199999999999999</v>
      </c>
      <c r="M8" s="3">
        <v>6</v>
      </c>
      <c r="N8" s="5"/>
      <c r="O8" s="3"/>
      <c r="P8" s="3"/>
    </row>
    <row r="12" spans="1:16" x14ac:dyDescent="0.25">
      <c r="E12" s="1"/>
    </row>
    <row r="18" spans="8:8" x14ac:dyDescent="0.25">
      <c r="H18" s="15"/>
    </row>
    <row r="19" spans="8:8" x14ac:dyDescent="0.25">
      <c r="H19" s="15"/>
    </row>
    <row r="20" spans="8:8" x14ac:dyDescent="0.25">
      <c r="H20" s="15"/>
    </row>
  </sheetData>
  <mergeCells count="13">
    <mergeCell ref="H1:H2"/>
    <mergeCell ref="A1:A2"/>
    <mergeCell ref="B1:B2"/>
    <mergeCell ref="C1:C2"/>
    <mergeCell ref="D1:G1"/>
    <mergeCell ref="N1:N2"/>
    <mergeCell ref="O1:O2"/>
    <mergeCell ref="P1:P2"/>
    <mergeCell ref="I1:I2"/>
    <mergeCell ref="J1:J2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C12"/>
  <sheetViews>
    <sheetView workbookViewId="0">
      <selection activeCell="D11" sqref="D11"/>
    </sheetView>
  </sheetViews>
  <sheetFormatPr defaultRowHeight="15" x14ac:dyDescent="0.25"/>
  <cols>
    <col min="2" max="2" width="25.5703125" customWidth="1"/>
    <col min="3" max="3" width="26.28515625" customWidth="1"/>
  </cols>
  <sheetData>
    <row r="8" spans="2:3" ht="15" customHeight="1" x14ac:dyDescent="0.25"/>
    <row r="9" spans="2:3" ht="15" customHeight="1" x14ac:dyDescent="0.3">
      <c r="B9" s="16" t="s">
        <v>28</v>
      </c>
      <c r="C9" t="s">
        <v>26</v>
      </c>
    </row>
    <row r="10" spans="2:3" ht="18.75" x14ac:dyDescent="0.25">
      <c r="B10" s="3">
        <v>5</v>
      </c>
      <c r="C10">
        <v>1</v>
      </c>
    </row>
    <row r="11" spans="2:3" ht="18.75" x14ac:dyDescent="0.25">
      <c r="B11" s="8" t="s">
        <v>29</v>
      </c>
      <c r="C11">
        <v>3</v>
      </c>
    </row>
    <row r="12" spans="2:3" ht="18.75" x14ac:dyDescent="0.25">
      <c r="B12" s="3" t="s">
        <v>25</v>
      </c>
      <c r="C12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2022-10-18T10:48:26Z</dcterms:modified>
</cp:coreProperties>
</file>