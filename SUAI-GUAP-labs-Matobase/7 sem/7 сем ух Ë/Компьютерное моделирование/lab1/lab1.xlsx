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jpancenko/Documents/7 сем ух Ë/Компьютерное моделирование/lab1/"/>
    </mc:Choice>
  </mc:AlternateContent>
  <xr:revisionPtr revIDLastSave="0" documentId="13_ncr:1_{1BA84954-1D8C-F04B-AA7F-1091B189A378}" xr6:coauthVersionLast="47" xr6:coauthVersionMax="47" xr10:uidLastSave="{00000000-0000-0000-0000-000000000000}"/>
  <bookViews>
    <workbookView xWindow="80" yWindow="1580" windowWidth="28240" windowHeight="17140" activeTab="1" xr2:uid="{CBF7E6DD-E665-E945-A77A-20246CC36864}"/>
  </bookViews>
  <sheets>
    <sheet name="Отчет о результатах 1" sheetId="2" r:id="rId1"/>
    <sheet name="Лист1" sheetId="1" r:id="rId2"/>
  </sheets>
  <definedNames>
    <definedName name="solver_adj" localSheetId="1" hidden="1">Лист1!$E$2:$E$3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Лист1!$E$2</definedName>
    <definedName name="solver_lhs2" localSheetId="1" hidden="1">Лист1!$E$3</definedName>
    <definedName name="solver_lhs3" localSheetId="1" hidden="1">Лист1!$F$2</definedName>
    <definedName name="solver_lhs4" localSheetId="1" hidden="1">Лист1!$F$2</definedName>
    <definedName name="solver_lhs5" localSheetId="1" hidden="1">Лист1!$F$3</definedName>
    <definedName name="solver_lhs6" localSheetId="1" hidden="1">Лист1!$F$3</definedName>
    <definedName name="solver_lhs7" localSheetId="1" hidden="1">Лист1!$F$4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opt" localSheetId="1" hidden="1">Лист1!$G$5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4</definedName>
    <definedName name="solver_rel3" localSheetId="1" hidden="1">3</definedName>
    <definedName name="solver_rel4" localSheetId="1" hidden="1">3</definedName>
    <definedName name="solver_rel5" localSheetId="1" hidden="1">3</definedName>
    <definedName name="solver_rel6" localSheetId="1" hidden="1">3</definedName>
    <definedName name="solver_rel7" localSheetId="1" hidden="1">3</definedName>
    <definedName name="solver_rhs1" localSheetId="1" hidden="1">"целое"</definedName>
    <definedName name="solver_rhs2" localSheetId="1" hidden="1">"целое"</definedName>
    <definedName name="solver_rhs3" localSheetId="1" hidden="1">Лист1!$D$2</definedName>
    <definedName name="solver_rhs4" localSheetId="1" hidden="1">0</definedName>
    <definedName name="solver_rhs5" localSheetId="1" hidden="1">Лист1!$D$3</definedName>
    <definedName name="solver_rhs6" localSheetId="1" hidden="1">0</definedName>
    <definedName name="solver_rhs7" localSheetId="1" hidden="1">Лист1!$D$4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4" i="1"/>
  <c r="F3" i="1"/>
  <c r="F2" i="1"/>
</calcChain>
</file>

<file path=xl/sharedStrings.xml><?xml version="1.0" encoding="utf-8"?>
<sst xmlns="http://schemas.openxmlformats.org/spreadsheetml/2006/main" count="70" uniqueCount="55">
  <si>
    <t>Способ 1</t>
  </si>
  <si>
    <t>Способ 2</t>
  </si>
  <si>
    <t>Способ раскроя</t>
  </si>
  <si>
    <t>Требуемо минимум</t>
  </si>
  <si>
    <t>Переменные</t>
  </si>
  <si>
    <t>Произведено</t>
  </si>
  <si>
    <t>Отходы</t>
  </si>
  <si>
    <t>Заготовки I</t>
  </si>
  <si>
    <t>Заготовки II</t>
  </si>
  <si>
    <t>Заготовки III</t>
  </si>
  <si>
    <t>Отходы (см²)</t>
  </si>
  <si>
    <t>Microsoft Excel 16.100 Отчет о результатах</t>
  </si>
  <si>
    <t>Лист: [lab1.xlsx]Лист1</t>
  </si>
  <si>
    <t>Отчет создан: 04.09.2025 12:35:06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</si>
  <si>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</si>
  <si>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</si>
  <si>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линейных задач симплекс-методом</t>
  </si>
  <si>
    <t>Время решения: 211,141 секунд.</t>
  </si>
  <si>
    <t>Число итераций: 6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</si>
  <si>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</si>
  <si>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</si>
  <si>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</si>
  <si>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</si>
  <si>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</si>
  <si>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</si>
  <si>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</si>
  <si>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</si>
  <si>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</si>
  <si>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</si>
  <si>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</si>
  <si>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</si>
  <si>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</si>
  <si>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</si>
  <si>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</si>
  <si>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$G$5</t>
  </si>
  <si>
    <t>Отходы (см²) Отходы</t>
  </si>
  <si>
    <t>$E$2</t>
  </si>
  <si>
    <t>Заготовки I Переменные</t>
  </si>
  <si>
    <t>$E$3</t>
  </si>
  <si>
    <t>Заготовки II Переменные</t>
  </si>
  <si>
    <t>$F$2</t>
  </si>
  <si>
    <t>Заготовки I Произведено</t>
  </si>
  <si>
    <t>$F$2&gt;=$D$2</t>
  </si>
  <si>
    <t>Без привязки</t>
  </si>
  <si>
    <t>$F$2&gt;=0</t>
  </si>
  <si>
    <t>$F$3</t>
  </si>
  <si>
    <t>Заготовки II Произведено</t>
  </si>
  <si>
    <t>$F$3&gt;=$D$3</t>
  </si>
  <si>
    <t>Привязка</t>
  </si>
  <si>
    <t>$F$3&gt;=0</t>
  </si>
  <si>
    <t>$F$4</t>
  </si>
  <si>
    <t>Заготовки III Произведено</t>
  </si>
  <si>
    <t>$F$4&gt;=$D$4</t>
  </si>
  <si>
    <t>$E$2=Целочисленное</t>
  </si>
  <si>
    <t>$E$3=Целочисленное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</si>
</sst>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6856-E7FE-634A-8283-F3AA93203035}">
  <dimension ref="A1:G33"/>
  <sheetViews>
    <sheetView showGridLines="0" workbookViewId="0"/>
  </sheetViews>
  <sheetFormatPr baseColWidth="10" defaultRowHeight="16" x14ac:dyDescent="0.2"/>
  <cols>
    <col min="1" max="1" width="2.33203125" customWidth="1"/>
    <col min="2" max="2" width="19.83203125" bestFit="1" customWidth="1"/>
    <col min="3" max="3" width="23.83203125" bestFit="1" customWidth="1"/>
    <col min="4" max="4" width="18.33203125" bestFit="1" customWidth="1"/>
    <col min="5" max="5" width="23.5" bestFit="1" customWidth="1"/>
    <col min="6" max="6" width="14.83203125" bestFit="1" customWidth="1"/>
    <col min="7" max="7" width="7.5" bestFit="1" customWidth="1"/>
  </cols>
  <sheetData>
    <row r="1" spans="1:5" x14ac:dyDescent="0.2">
      <c r="A1" s="1" t="s">
        <v>11</v>
      </c>
    </row>
    <row r="2" spans="1:5" x14ac:dyDescent="0.2">
      <c r="A2" s="1" t="s">
        <v>12</v>
      </c>
    </row>
    <row r="3" spans="1:5" x14ac:dyDescent="0.2">
      <c r="A3" s="1" t="s">
        <v>13</v>
      </c>
    </row>
    <row r="4" spans="1:5" x14ac:dyDescent="0.2">
      <c r="A4" s="1" t="s">
        <v>14</v>
      </c>
    </row>
    <row r="5" spans="1:5" x14ac:dyDescent="0.2">
      <c r="A5" s="1" t="s">
        <v>15</v>
      </c>
    </row>
    <row r="6" spans="1:5" x14ac:dyDescent="0.2">
      <c r="A6" s="1"/>
      <c r="B6" t="s">
        <v>16</v>
      </c>
    </row>
    <row r="7" spans="1:5" x14ac:dyDescent="0.2">
      <c r="A7" s="1"/>
      <c r="B7" t="s">
        <v>17</v>
      </c>
    </row>
    <row r="8" spans="1:5" x14ac:dyDescent="0.2">
      <c r="A8" s="1"/>
      <c r="B8" t="s">
        <v>18</v>
      </c>
    </row>
    <row r="9" spans="1:5" x14ac:dyDescent="0.2">
      <c r="A9" s="1" t="s">
        <v>19</v>
      </c>
    </row>
    <row r="10" spans="1:5" x14ac:dyDescent="0.2">
      <c r="B10" t="s">
        <v>20</v>
      </c>
    </row>
    <row r="11" spans="1:5" x14ac:dyDescent="0.2">
      <c r="B11" t="s">
        <v>21</v>
      </c>
    </row>
    <row r="14" spans="1:5" ht="17" thickBot="1" x14ac:dyDescent="0.25">
      <c r="A14" t="s">
        <v>22</v>
      </c>
    </row>
    <row r="15" spans="1:5" ht="17" thickBot="1" x14ac:dyDescent="0.25">
      <c r="B15" s="3" t="s">
        <v>23</v>
      </c>
      <c r="C15" s="3" t="s">
        <v>24</v>
      </c>
      <c r="D15" s="3" t="s">
        <v>25</v>
      </c>
      <c r="E15" s="3" t="s">
        <v>26</v>
      </c>
    </row>
    <row r="16" spans="1:5" ht="17" thickBot="1" x14ac:dyDescent="0.25">
      <c r="B16" s="2" t="s">
        <v>34</v>
      </c>
      <c r="C16" s="2" t="s">
        <v>35</v>
      </c>
      <c r="D16" s="5">
        <v>0</v>
      </c>
      <c r="E16" s="5">
        <v>100</v>
      </c>
    </row>
    <row r="19" spans="1:7" ht="17" thickBot="1" x14ac:dyDescent="0.25">
      <c r="A19" t="s">
        <v>27</v>
      </c>
    </row>
    <row r="20" spans="1:7" ht="17" thickBot="1" x14ac:dyDescent="0.25"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28</v>
      </c>
    </row>
    <row r="21" spans="1:7" x14ac:dyDescent="0.2">
      <c r="B21" s="4" t="s">
        <v>36</v>
      </c>
      <c r="C21" s="4" t="s">
        <v>37</v>
      </c>
      <c r="D21" s="6">
        <v>0</v>
      </c>
      <c r="E21" s="6">
        <v>3</v>
      </c>
      <c r="F21" s="4" t="s">
        <v>28</v>
      </c>
    </row>
    <row r="22" spans="1:7" ht="17" thickBot="1" x14ac:dyDescent="0.25">
      <c r="B22" s="2" t="s">
        <v>38</v>
      </c>
      <c r="C22" s="2" t="s">
        <v>39</v>
      </c>
      <c r="D22" s="5">
        <v>0</v>
      </c>
      <c r="E22" s="5">
        <v>4</v>
      </c>
      <c r="F22" s="2" t="s">
        <v>28</v>
      </c>
    </row>
    <row r="25" spans="1:7" ht="17" thickBot="1" x14ac:dyDescent="0.25">
      <c r="A25" t="s">
        <v>29</v>
      </c>
    </row>
    <row r="26" spans="1:7" ht="17" thickBot="1" x14ac:dyDescent="0.25">
      <c r="B26" s="3" t="s">
        <v>23</v>
      </c>
      <c r="C26" s="3" t="s">
        <v>24</v>
      </c>
      <c r="D26" s="3" t="s">
        <v>30</v>
      </c>
      <c r="E26" s="3" t="s">
        <v>31</v>
      </c>
      <c r="F26" s="3" t="s">
        <v>32</v>
      </c>
      <c r="G26" s="3" t="s">
        <v>33</v>
      </c>
    </row>
    <row r="27" spans="1:7" x14ac:dyDescent="0.2">
      <c r="B27" s="4" t="s">
        <v>40</v>
      </c>
      <c r="C27" s="4" t="s">
        <v>41</v>
      </c>
      <c r="D27" s="6">
        <v>30</v>
      </c>
      <c r="E27" s="4" t="s">
        <v>42</v>
      </c>
      <c r="F27" s="4" t="s">
        <v>43</v>
      </c>
      <c r="G27" s="6">
        <v>6</v>
      </c>
    </row>
    <row r="28" spans="1:7" x14ac:dyDescent="0.2">
      <c r="B28" s="4" t="s">
        <v>40</v>
      </c>
      <c r="C28" s="4" t="s">
        <v>41</v>
      </c>
      <c r="D28" s="6">
        <v>30</v>
      </c>
      <c r="E28" s="4" t="s">
        <v>44</v>
      </c>
      <c r="F28" s="4" t="s">
        <v>43</v>
      </c>
      <c r="G28" s="6">
        <v>30</v>
      </c>
    </row>
    <row r="29" spans="1:7" x14ac:dyDescent="0.2">
      <c r="B29" s="4" t="s">
        <v>45</v>
      </c>
      <c r="C29" s="4" t="s">
        <v>46</v>
      </c>
      <c r="D29" s="6">
        <v>31</v>
      </c>
      <c r="E29" s="4" t="s">
        <v>47</v>
      </c>
      <c r="F29" s="4" t="s">
        <v>48</v>
      </c>
      <c r="G29" s="6">
        <v>0</v>
      </c>
    </row>
    <row r="30" spans="1:7" x14ac:dyDescent="0.2">
      <c r="B30" s="4" t="s">
        <v>45</v>
      </c>
      <c r="C30" s="4" t="s">
        <v>46</v>
      </c>
      <c r="D30" s="6">
        <v>31</v>
      </c>
      <c r="E30" s="4" t="s">
        <v>49</v>
      </c>
      <c r="F30" s="4" t="s">
        <v>43</v>
      </c>
      <c r="G30" s="6">
        <v>31</v>
      </c>
    </row>
    <row r="31" spans="1:7" x14ac:dyDescent="0.2">
      <c r="B31" s="4" t="s">
        <v>50</v>
      </c>
      <c r="C31" s="4" t="s">
        <v>51</v>
      </c>
      <c r="D31" s="6">
        <v>18</v>
      </c>
      <c r="E31" s="4" t="s">
        <v>52</v>
      </c>
      <c r="F31" s="4" t="s">
        <v>48</v>
      </c>
      <c r="G31" s="6">
        <v>0</v>
      </c>
    </row>
    <row r="32" spans="1:7" x14ac:dyDescent="0.2">
      <c r="B32" s="4" t="s">
        <v>53</v>
      </c>
      <c r="C32" s="4"/>
      <c r="D32" s="4"/>
      <c r="E32" s="4"/>
      <c r="F32" s="4"/>
      <c r="G32" s="4"/>
    </row>
    <row r="33" spans="2:7" ht="17" thickBot="1" x14ac:dyDescent="0.25">
      <c r="B33" s="2" t="s">
        <v>54</v>
      </c>
      <c r="C33" s="2"/>
      <c r="D33" s="2"/>
      <c r="E33" s="2"/>
      <c r="F33" s="2"/>
      <c r="G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83D5-3517-3F45-BCA0-0819635DD64C}">
  <dimension ref="A1:G5"/>
  <sheetViews>
    <sheetView tabSelected="1" workbookViewId="0">
      <selection activeCell="F4" sqref="F4"/>
    </sheetView>
  </sheetViews>
  <sheetFormatPr baseColWidth="10" defaultRowHeight="16" x14ac:dyDescent="0.2"/>
  <cols>
    <col min="1" max="1" width="17.5" customWidth="1"/>
    <col min="3" max="3" width="21.83203125" customWidth="1"/>
    <col min="4" max="4" width="20" customWidth="1"/>
    <col min="5" max="5" width="14.5" customWidth="1"/>
    <col min="6" max="6" width="13.832031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</v>
      </c>
      <c r="C2">
        <v>6</v>
      </c>
      <c r="D2">
        <v>24</v>
      </c>
      <c r="E2">
        <v>3</v>
      </c>
      <c r="F2">
        <f>B2*E2 + C2*E3</f>
        <v>30</v>
      </c>
    </row>
    <row r="3" spans="1:7" x14ac:dyDescent="0.2">
      <c r="A3" t="s">
        <v>8</v>
      </c>
      <c r="B3">
        <v>5</v>
      </c>
      <c r="C3">
        <v>4</v>
      </c>
      <c r="D3">
        <v>31</v>
      </c>
      <c r="E3">
        <v>4</v>
      </c>
      <c r="F3">
        <f>B3*E2 + C3*E3</f>
        <v>31</v>
      </c>
    </row>
    <row r="4" spans="1:7" x14ac:dyDescent="0.2">
      <c r="A4" t="s">
        <v>9</v>
      </c>
      <c r="B4">
        <v>2</v>
      </c>
      <c r="C4">
        <v>3</v>
      </c>
      <c r="D4">
        <v>18</v>
      </c>
      <c r="F4">
        <f>B4*E2 + C4*E3</f>
        <v>18</v>
      </c>
    </row>
    <row r="5" spans="1:7" x14ac:dyDescent="0.2">
      <c r="A5" t="s">
        <v>10</v>
      </c>
      <c r="B5">
        <v>12</v>
      </c>
      <c r="C5">
        <v>16</v>
      </c>
      <c r="G5">
        <f>B5*E2 + C5*E3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 результатах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Панченко</dc:creator>
  <cp:lastModifiedBy>Андрей Панченко</cp:lastModifiedBy>
  <dcterms:created xsi:type="dcterms:W3CDTF">2025-09-04T08:44:11Z</dcterms:created>
  <dcterms:modified xsi:type="dcterms:W3CDTF">2025-09-04T10:08:05Z</dcterms:modified>
</cp:coreProperties>
</file>