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y/Documents/7 сем ух Ë/Компьютерное моделирование/Другим/Никита/lab1/"/>
    </mc:Choice>
  </mc:AlternateContent>
  <xr:revisionPtr revIDLastSave="0" documentId="13_ncr:1_{C5E1EED7-E124-1146-B2A6-7C29E093E378}" xr6:coauthVersionLast="47" xr6:coauthVersionMax="47" xr10:uidLastSave="{00000000-0000-0000-0000-000000000000}"/>
  <bookViews>
    <workbookView xWindow="13740" yWindow="700" windowWidth="15660" windowHeight="18440" xr2:uid="{CBF7E6DD-E665-E945-A77A-20246CC36864}"/>
  </bookViews>
  <sheets>
    <sheet name="Лист1" sheetId="1" r:id="rId1"/>
  </sheets>
  <definedNames>
    <definedName name="solver_adj" localSheetId="0" hidden="1">Лист1!$B$2:$C$2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itr" localSheetId="0" hidden="1">2147483647</definedName>
    <definedName name="solver_lhs1" localSheetId="0" hidden="1">Лист1!$B$2:$C$2</definedName>
    <definedName name="solver_lhs2" localSheetId="0" hidden="1">Лист1!$B$2:$C$2</definedName>
    <definedName name="solver_lhs3" localSheetId="0" hidden="1">Лист1!$D$6</definedName>
    <definedName name="solver_lhs4" localSheetId="0" hidden="1">Лист1!$D$9</definedName>
    <definedName name="solver_lhs5" localSheetId="0" hidden="1">Лист1!$F$3</definedName>
    <definedName name="solver_lhs6" localSheetId="0" hidden="1">Лист1!$F$3</definedName>
    <definedName name="solver_lhs7" localSheetId="0" hidden="1">Лист1!$F$4</definedName>
    <definedName name="solver_lin" localSheetId="0" hidden="1">1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opt" localSheetId="0" hidden="1">Лист1!$D$10</definedName>
    <definedName name="solver_pre" localSheetId="0" hidden="1">0.000001</definedName>
    <definedName name="solver_rbv" localSheetId="0" hidden="1">1</definedName>
    <definedName name="solver_rel1" localSheetId="0" hidden="1">4</definedName>
    <definedName name="solver_rel2" localSheetId="0" hidden="1">3</definedName>
    <definedName name="solver_rel3" localSheetId="0" hidden="1">2</definedName>
    <definedName name="solver_rel4" localSheetId="0" hidden="1">3</definedName>
    <definedName name="solver_rel5" localSheetId="0" hidden="1">3</definedName>
    <definedName name="solver_rel6" localSheetId="0" hidden="1">3</definedName>
    <definedName name="solver_rel7" localSheetId="0" hidden="1">3</definedName>
    <definedName name="solver_rhs1" localSheetId="0" hidden="1">"целое"</definedName>
    <definedName name="solver_rhs2" localSheetId="0" hidden="1">0</definedName>
    <definedName name="solver_rhs3" localSheetId="0" hidden="1">Лист1!$E$6</definedName>
    <definedName name="solver_rhs4" localSheetId="0" hidden="1">0</definedName>
    <definedName name="solver_rhs5" localSheetId="0" hidden="1">Лист1!$D$3</definedName>
    <definedName name="solver_rhs6" localSheetId="0" hidden="1">0</definedName>
    <definedName name="solver_rhs7" localSheetId="0" hidden="1">Лист1!$D$4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" i="1" l="1"/>
  <c r="D10" i="1"/>
  <c r="D8" i="1"/>
  <c r="D7" i="1"/>
  <c r="D6" i="1"/>
  <c r="D9" i="1" l="1"/>
</calcChain>
</file>

<file path=xl/sharedStrings.xml><?xml version="1.0" encoding="utf-8"?>
<sst xmlns="http://schemas.openxmlformats.org/spreadsheetml/2006/main" count="13" uniqueCount="13">
  <si>
    <t>Способ 1</t>
  </si>
  <si>
    <t>Способ 2</t>
  </si>
  <si>
    <t>Описание</t>
  </si>
  <si>
    <t>Количество листов</t>
  </si>
  <si>
    <t>Детали А на лист</t>
  </si>
  <si>
    <t>Детали Б на лист</t>
  </si>
  <si>
    <t>Отходы на лист</t>
  </si>
  <si>
    <t>Всего листов</t>
  </si>
  <si>
    <t>Всего деталей А</t>
  </si>
  <si>
    <t>Всего деталей Б</t>
  </si>
  <si>
    <t>Условие А &gt;= Б</t>
  </si>
  <si>
    <t>Общие отходы</t>
  </si>
  <si>
    <t>&gt;=0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</si>
</sst>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583D5-3517-3F45-BCA0-0819635DD64C}">
  <dimension ref="A1:E10"/>
  <sheetViews>
    <sheetView tabSelected="1" workbookViewId="0">
      <selection activeCell="F17" sqref="F17"/>
    </sheetView>
  </sheetViews>
  <sheetFormatPr baseColWidth="10" defaultRowHeight="16" x14ac:dyDescent="0.2"/>
  <cols>
    <col min="1" max="1" width="17.5" customWidth="1"/>
    <col min="3" max="3" width="21.83203125" customWidth="1"/>
    <col min="4" max="4" width="20" customWidth="1"/>
    <col min="5" max="5" width="14.5" customWidth="1"/>
    <col min="6" max="6" width="13.83203125" customWidth="1"/>
  </cols>
  <sheetData>
    <row r="1" spans="1:5" x14ac:dyDescent="0.2">
      <c r="A1" t="s">
        <v>2</v>
      </c>
      <c r="B1" t="s">
        <v>0</v>
      </c>
      <c r="C1" t="s">
        <v>1</v>
      </c>
    </row>
    <row r="2" spans="1:5" x14ac:dyDescent="0.2">
      <c r="A2" t="s">
        <v>3</v>
      </c>
      <c r="B2">
        <v>5000</v>
      </c>
      <c r="C2">
        <v>0</v>
      </c>
    </row>
    <row r="3" spans="1:5" x14ac:dyDescent="0.2">
      <c r="A3" t="s">
        <v>4</v>
      </c>
      <c r="B3">
        <v>2</v>
      </c>
      <c r="C3">
        <v>1</v>
      </c>
    </row>
    <row r="4" spans="1:5" x14ac:dyDescent="0.2">
      <c r="A4" t="s">
        <v>5</v>
      </c>
      <c r="B4">
        <v>2</v>
      </c>
      <c r="C4">
        <v>4</v>
      </c>
    </row>
    <row r="5" spans="1:5" x14ac:dyDescent="0.2">
      <c r="A5" t="s">
        <v>6</v>
      </c>
      <c r="B5">
        <v>6</v>
      </c>
      <c r="C5">
        <v>4</v>
      </c>
    </row>
    <row r="6" spans="1:5" x14ac:dyDescent="0.2">
      <c r="A6" t="s">
        <v>7</v>
      </c>
      <c r="D6">
        <f>B2+C2</f>
        <v>5000</v>
      </c>
      <c r="E6">
        <f>5000</f>
        <v>5000</v>
      </c>
    </row>
    <row r="7" spans="1:5" x14ac:dyDescent="0.2">
      <c r="A7" t="s">
        <v>8</v>
      </c>
      <c r="D7">
        <f>B2*B3+C2*C3</f>
        <v>10000</v>
      </c>
    </row>
    <row r="8" spans="1:5" x14ac:dyDescent="0.2">
      <c r="A8" t="s">
        <v>9</v>
      </c>
      <c r="D8">
        <f>+B2*B4+C2*C4</f>
        <v>10000</v>
      </c>
    </row>
    <row r="9" spans="1:5" x14ac:dyDescent="0.2">
      <c r="A9" t="s">
        <v>10</v>
      </c>
      <c r="D9">
        <f>D7-D8</f>
        <v>0</v>
      </c>
      <c r="E9" t="s">
        <v>12</v>
      </c>
    </row>
    <row r="10" spans="1:5" x14ac:dyDescent="0.2">
      <c r="A10" t="s">
        <v>11</v>
      </c>
      <c r="D10">
        <f>B2*B5+C2*C5</f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Андрей Панченко</dc:creator>
  <cp:lastModifiedBy>Andrey</cp:lastModifiedBy>
  <dcterms:created xsi:type="dcterms:W3CDTF">2025-09-04T08:44:11Z</dcterms:created>
  <dcterms:modified xsi:type="dcterms:W3CDTF">2025-09-30T10:47:10Z</dcterms:modified>
</cp:coreProperties>
</file>